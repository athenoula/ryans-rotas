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" sheetId="1" r:id="rId4"/>
  </sheets>
  <definedNames/>
  <calcPr/>
  <extLst>
    <ext uri="GoogleSheetsCustomDataVersion2">
      <go:sheetsCustomData xmlns:go="http://customooxmlschemas.google.com/" r:id="rId5" roundtripDataChecksum="lrDkPCRsm7yQGexB2kLMd6ecZNnpoj89OqzXXsAv/yg="/>
    </ext>
  </extLst>
</workbook>
</file>

<file path=xl/sharedStrings.xml><?xml version="1.0" encoding="utf-8"?>
<sst xmlns="http://schemas.openxmlformats.org/spreadsheetml/2006/main" count="458" uniqueCount="41">
  <si>
    <t xml:space="preserve">January </t>
  </si>
  <si>
    <t xml:space="preserve">Monthly Total </t>
  </si>
  <si>
    <t xml:space="preserve">Weekly Average </t>
  </si>
  <si>
    <t>Home (Con)</t>
  </si>
  <si>
    <t xml:space="preserve">Karen Hughes </t>
  </si>
  <si>
    <t xml:space="preserve">Kapil Kumar Kumar </t>
  </si>
  <si>
    <t>Jean Coyne</t>
  </si>
  <si>
    <t xml:space="preserve">Michelle Greatholder </t>
  </si>
  <si>
    <t xml:space="preserve">Away </t>
  </si>
  <si>
    <t xml:space="preserve">Andrew Cockbill </t>
  </si>
  <si>
    <t xml:space="preserve">Dennis Nesbitt </t>
  </si>
  <si>
    <t>Bank</t>
  </si>
  <si>
    <t xml:space="preserve">Karen Cockbill </t>
  </si>
  <si>
    <t xml:space="preserve">Alayo Obafemi </t>
  </si>
  <si>
    <t xml:space="preserve">Cheryl Marshall </t>
  </si>
  <si>
    <t xml:space="preserve">Agency </t>
  </si>
  <si>
    <t xml:space="preserve">February </t>
  </si>
  <si>
    <t> </t>
  </si>
  <si>
    <t>Kapil Kumar Kumar</t>
  </si>
  <si>
    <t>March</t>
  </si>
  <si>
    <t xml:space="preserve">April </t>
  </si>
  <si>
    <t>A/L</t>
  </si>
  <si>
    <t xml:space="preserve">May </t>
  </si>
  <si>
    <t xml:space="preserve">June </t>
  </si>
  <si>
    <t xml:space="preserve">July </t>
  </si>
  <si>
    <t xml:space="preserve">Ankita </t>
  </si>
  <si>
    <t xml:space="preserve">August </t>
  </si>
  <si>
    <t xml:space="preserve">September </t>
  </si>
  <si>
    <t>Off</t>
  </si>
  <si>
    <t xml:space="preserve">October </t>
  </si>
  <si>
    <t>Alayo Obafemi</t>
  </si>
  <si>
    <t xml:space="preserve">November </t>
  </si>
  <si>
    <t xml:space="preserve">December </t>
  </si>
  <si>
    <t xml:space="preserve">To Cover </t>
  </si>
  <si>
    <t>Imogen Parkinson</t>
  </si>
  <si>
    <t>Ankita</t>
  </si>
  <si>
    <t xml:space="preserve"> </t>
  </si>
  <si>
    <t xml:space="preserve">Imogen Parkinson </t>
  </si>
  <si>
    <t>Paige</t>
  </si>
  <si>
    <t>Adekemi</t>
  </si>
  <si>
    <t>Nights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</si>
</sst>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rgb="FF000000"/>
      <name val="Arial"/>
      <scheme val="minor"/>
    </font>
    <font>
      <b/>
      <sz val="11.0"/>
      <color theme="1"/>
      <name val="Calibri"/>
    </font>
    <font/>
    <font>
      <b/>
      <i/>
      <sz val="11.0"/>
      <color theme="1"/>
      <name val="Calibri"/>
    </font>
    <font>
      <sz val="11.0"/>
      <color theme="1"/>
      <name val="Calibri"/>
    </font>
    <font>
      <sz val="11.0"/>
      <color theme="1"/>
      <name val="Arial"/>
    </font>
    <font>
      <sz val="11.0"/>
      <color rgb="FFFF0000"/>
      <name val="Calibri"/>
    </font>
    <font>
      <b/>
      <i/>
      <sz val="11.0"/>
      <color rgb="FFFF0000"/>
      <name val="Calibri"/>
    </font>
    <font>
      <b/>
      <sz val="11.0"/>
      <color rgb="FFFF0000"/>
      <name val="Calibri"/>
    </font>
    <font>
      <sz val="11.0"/>
      <color rgb="FFFF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BFBFBF"/>
        <bgColor rgb="FFBFBFBF"/>
      </patternFill>
    </fill>
    <fill>
      <patternFill patternType="solid">
        <fgColor rgb="FF9CC2E5"/>
        <bgColor rgb="FF9CC2E5"/>
      </patternFill>
    </fill>
    <fill>
      <patternFill patternType="solid">
        <fgColor rgb="FF548135"/>
        <bgColor rgb="FF548135"/>
      </patternFill>
    </fill>
    <fill>
      <patternFill patternType="solid">
        <fgColor rgb="FFFFD965"/>
        <bgColor rgb="FFFFD965"/>
      </patternFill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FF0000"/>
        <bgColor rgb="FFFF0000"/>
      </patternFill>
    </fill>
  </fills>
  <borders count="70">
    <border/>
    <border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/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/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/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</border>
    <border>
      <left style="medium">
        <color rgb="FF000000"/>
      </left>
      <right/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/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/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/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/>
    </border>
    <border>
      <right style="medium">
        <color rgb="FF000000"/>
      </right>
    </border>
    <border>
      <left/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left style="thin">
        <color rgb="FF000000"/>
      </left>
      <bottom style="medium">
        <color rgb="FF000000"/>
      </bottom>
    </border>
    <border>
      <right/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Border="1" applyFont="1"/>
    <xf borderId="0" fillId="0" fontId="1" numFmtId="0" xfId="0" applyFont="1"/>
    <xf borderId="2" fillId="2" fontId="3" numFmtId="0" xfId="0" applyAlignment="1" applyBorder="1" applyFill="1" applyFont="1">
      <alignment horizontal="center" vertical="center"/>
    </xf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5" fillId="3" fontId="3" numFmtId="0" xfId="0" applyAlignment="1" applyBorder="1" applyFont="1">
      <alignment horizontal="center" vertical="center"/>
    </xf>
    <xf borderId="6" fillId="3" fontId="3" numFmtId="0" xfId="0" applyAlignment="1" applyBorder="1" applyFont="1">
      <alignment horizontal="center" vertical="center"/>
    </xf>
    <xf borderId="7" fillId="3" fontId="3" numFmtId="0" xfId="0" applyAlignment="1" applyBorder="1" applyFont="1">
      <alignment horizontal="center" vertical="center"/>
    </xf>
    <xf borderId="8" fillId="3" fontId="3" numFmtId="0" xfId="0" applyAlignment="1" applyBorder="1" applyFont="1">
      <alignment horizontal="center" vertical="center"/>
    </xf>
    <xf borderId="9" fillId="3" fontId="3" numFmtId="0" xfId="0" applyAlignment="1" applyBorder="1" applyFont="1">
      <alignment horizontal="center" vertical="center"/>
    </xf>
    <xf borderId="10" fillId="3" fontId="3" numFmtId="0" xfId="0" applyAlignment="1" applyBorder="1" applyFont="1">
      <alignment horizontal="center" vertical="center"/>
    </xf>
    <xf borderId="11" fillId="3" fontId="3" numFmtId="0" xfId="0" applyAlignment="1" applyBorder="1" applyFont="1">
      <alignment horizontal="center" vertical="center"/>
    </xf>
    <xf borderId="12" fillId="3" fontId="3" numFmtId="0" xfId="0" applyAlignment="1" applyBorder="1" applyFont="1">
      <alignment horizontal="center" vertical="center"/>
    </xf>
    <xf borderId="13" fillId="3" fontId="3" numFmtId="0" xfId="0" applyAlignment="1" applyBorder="1" applyFont="1">
      <alignment horizontal="center" vertical="center"/>
    </xf>
    <xf borderId="14" fillId="3" fontId="3" numFmtId="0" xfId="0" applyAlignment="1" applyBorder="1" applyFont="1">
      <alignment horizontal="center" vertical="center"/>
    </xf>
    <xf borderId="15" fillId="3" fontId="3" numFmtId="0" xfId="0" applyAlignment="1" applyBorder="1" applyFont="1">
      <alignment horizontal="center" vertical="center"/>
    </xf>
    <xf borderId="16" fillId="3" fontId="3" numFmtId="0" xfId="0" applyAlignment="1" applyBorder="1" applyFont="1">
      <alignment horizontal="center" vertical="center"/>
    </xf>
    <xf borderId="17" fillId="3" fontId="3" numFmtId="0" xfId="0" applyAlignment="1" applyBorder="1" applyFont="1">
      <alignment horizontal="center" vertical="center"/>
    </xf>
    <xf borderId="3" fillId="3" fontId="3" numFmtId="0" xfId="0" applyAlignment="1" applyBorder="1" applyFont="1">
      <alignment horizontal="center" vertical="center"/>
    </xf>
    <xf borderId="16" fillId="0" fontId="3" numFmtId="0" xfId="0" applyAlignment="1" applyBorder="1" applyFont="1">
      <alignment horizontal="center" vertical="center"/>
    </xf>
    <xf borderId="2" fillId="3" fontId="3" numFmtId="0" xfId="0" applyAlignment="1" applyBorder="1" applyFont="1">
      <alignment horizontal="center" vertical="center"/>
    </xf>
    <xf borderId="18" fillId="0" fontId="2" numFmtId="0" xfId="0" applyBorder="1" applyFont="1"/>
    <xf borderId="0" fillId="0" fontId="3" numFmtId="0" xfId="0" applyAlignment="1" applyFont="1">
      <alignment horizontal="center" vertical="center"/>
    </xf>
    <xf borderId="19" fillId="0" fontId="2" numFmtId="0" xfId="0" applyBorder="1" applyFont="1"/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26" fillId="0" fontId="2" numFmtId="0" xfId="0" applyBorder="1" applyFont="1"/>
    <xf borderId="27" fillId="0" fontId="2" numFmtId="0" xfId="0" applyBorder="1" applyFont="1"/>
    <xf borderId="9" fillId="0" fontId="4" numFmtId="0" xfId="0" applyAlignment="1" applyBorder="1" applyFont="1">
      <alignment horizontal="left" vertical="center"/>
    </xf>
    <xf borderId="28" fillId="4" fontId="4" numFmtId="0" xfId="0" applyAlignment="1" applyBorder="1" applyFill="1" applyFont="1">
      <alignment horizontal="left" vertical="center"/>
    </xf>
    <xf borderId="29" fillId="0" fontId="4" numFmtId="0" xfId="0" applyAlignment="1" applyBorder="1" applyFont="1">
      <alignment horizontal="center" vertical="center"/>
    </xf>
    <xf borderId="30" fillId="0" fontId="4" numFmtId="0" xfId="0" applyAlignment="1" applyBorder="1" applyFont="1">
      <alignment horizontal="center" vertical="center"/>
    </xf>
    <xf borderId="30" fillId="0" fontId="1" numFmtId="0" xfId="0" applyAlignment="1" applyBorder="1" applyFont="1">
      <alignment horizontal="center" vertical="center"/>
    </xf>
    <xf borderId="31" fillId="0" fontId="4" numFmtId="0" xfId="0" applyAlignment="1" applyBorder="1" applyFont="1">
      <alignment horizontal="center" vertical="center"/>
    </xf>
    <xf borderId="16" fillId="0" fontId="4" numFmtId="0" xfId="0" applyAlignment="1" applyBorder="1" applyFont="1">
      <alignment horizontal="center" vertical="center"/>
    </xf>
    <xf borderId="32" fillId="0" fontId="2" numFmtId="0" xfId="0" applyBorder="1" applyFont="1"/>
    <xf borderId="33" fillId="0" fontId="2" numFmtId="0" xfId="0" applyBorder="1" applyFont="1"/>
    <xf borderId="34" fillId="0" fontId="4" numFmtId="0" xfId="0" applyAlignment="1" applyBorder="1" applyFont="1">
      <alignment horizontal="center" vertical="center"/>
    </xf>
    <xf borderId="35" fillId="0" fontId="2" numFmtId="0" xfId="0" applyBorder="1" applyFont="1"/>
    <xf borderId="36" fillId="0" fontId="2" numFmtId="0" xfId="0" applyBorder="1" applyFont="1"/>
    <xf borderId="0" fillId="0" fontId="4" numFmtId="0" xfId="0" applyAlignment="1" applyFont="1">
      <alignment horizontal="center" vertical="center"/>
    </xf>
    <xf borderId="14" fillId="0" fontId="2" numFmtId="0" xfId="0" applyBorder="1" applyFont="1"/>
    <xf borderId="37" fillId="4" fontId="4" numFmtId="0" xfId="0" applyAlignment="1" applyBorder="1" applyFont="1">
      <alignment horizontal="left" vertical="center"/>
    </xf>
    <xf borderId="38" fillId="0" fontId="4" numFmtId="0" xfId="0" applyAlignment="1" applyBorder="1" applyFont="1">
      <alignment horizontal="center" vertical="center"/>
    </xf>
    <xf borderId="39" fillId="0" fontId="4" numFmtId="0" xfId="0" applyAlignment="1" applyBorder="1" applyFont="1">
      <alignment horizontal="center" vertical="center"/>
    </xf>
    <xf borderId="38" fillId="0" fontId="1" numFmtId="0" xfId="0" applyAlignment="1" applyBorder="1" applyFont="1">
      <alignment horizontal="center" vertical="center"/>
    </xf>
    <xf borderId="40" fillId="0" fontId="4" numFmtId="0" xfId="0" applyAlignment="1" applyBorder="1" applyFont="1">
      <alignment horizontal="center" vertical="center"/>
    </xf>
    <xf borderId="41" fillId="0" fontId="4" numFmtId="0" xfId="0" applyAlignment="1" applyBorder="1" applyFont="1">
      <alignment horizontal="center" vertical="center"/>
    </xf>
    <xf borderId="41" fillId="0" fontId="1" numFmtId="0" xfId="0" applyAlignment="1" applyBorder="1" applyFont="1">
      <alignment horizontal="center" vertical="center"/>
    </xf>
    <xf borderId="42" fillId="0" fontId="4" numFmtId="0" xfId="0" applyAlignment="1" applyBorder="1" applyFont="1">
      <alignment horizontal="center" vertical="center"/>
    </xf>
    <xf borderId="43" fillId="0" fontId="2" numFmtId="0" xfId="0" applyBorder="1" applyFont="1"/>
    <xf borderId="44" fillId="0" fontId="2" numFmtId="0" xfId="0" applyBorder="1" applyFont="1"/>
    <xf borderId="17" fillId="5" fontId="4" numFmtId="0" xfId="0" applyAlignment="1" applyBorder="1" applyFill="1" applyFont="1">
      <alignment horizontal="left" vertical="center"/>
    </xf>
    <xf borderId="45" fillId="0" fontId="4" numFmtId="0" xfId="0" applyAlignment="1" applyBorder="1" applyFont="1">
      <alignment horizontal="left" vertical="center"/>
    </xf>
    <xf borderId="46" fillId="0" fontId="4" numFmtId="0" xfId="0" applyAlignment="1" applyBorder="1" applyFont="1">
      <alignment horizontal="center" vertical="center"/>
    </xf>
    <xf borderId="47" fillId="0" fontId="4" numFmtId="0" xfId="0" applyAlignment="1" applyBorder="1" applyFont="1">
      <alignment horizontal="center" vertical="center"/>
    </xf>
    <xf borderId="47" fillId="0" fontId="4" numFmtId="0" xfId="0" applyAlignment="1" applyBorder="1" applyFont="1">
      <alignment horizontal="center"/>
    </xf>
    <xf borderId="48" fillId="0" fontId="4" numFmtId="0" xfId="0" applyAlignment="1" applyBorder="1" applyFont="1">
      <alignment horizontal="center"/>
    </xf>
    <xf borderId="45" fillId="0" fontId="4" numFmtId="0" xfId="0" applyAlignment="1" applyBorder="1" applyFont="1">
      <alignment horizontal="center" vertical="center"/>
    </xf>
    <xf borderId="49" fillId="0" fontId="2" numFmtId="0" xfId="0" applyBorder="1" applyFont="1"/>
    <xf borderId="48" fillId="0" fontId="2" numFmtId="0" xfId="0" applyBorder="1" applyFont="1"/>
    <xf borderId="50" fillId="0" fontId="2" numFmtId="0" xfId="0" applyBorder="1" applyFont="1"/>
    <xf borderId="39" fillId="0" fontId="4" numFmtId="0" xfId="0" applyAlignment="1" applyBorder="1" applyFont="1">
      <alignment horizontal="left" vertical="center"/>
    </xf>
    <xf borderId="51" fillId="0" fontId="4" numFmtId="0" xfId="0" applyAlignment="1" applyBorder="1" applyFont="1">
      <alignment horizontal="center" vertical="center"/>
    </xf>
    <xf borderId="30" fillId="0" fontId="4" numFmtId="0" xfId="0" applyBorder="1" applyFont="1"/>
    <xf borderId="33" fillId="0" fontId="4" numFmtId="0" xfId="0" applyBorder="1" applyFont="1"/>
    <xf borderId="22" fillId="0" fontId="4" numFmtId="0" xfId="0" applyAlignment="1" applyBorder="1" applyFont="1">
      <alignment horizontal="center"/>
    </xf>
    <xf borderId="52" fillId="0" fontId="4" numFmtId="0" xfId="0" applyAlignment="1" applyBorder="1" applyFont="1">
      <alignment horizontal="center"/>
    </xf>
    <xf borderId="53" fillId="0" fontId="2" numFmtId="0" xfId="0" applyBorder="1" applyFont="1"/>
    <xf borderId="9" fillId="0" fontId="4" numFmtId="0" xfId="0" applyAlignment="1" applyBorder="1" applyFont="1">
      <alignment horizontal="left" shrinkToFit="0" vertical="center" wrapText="1"/>
    </xf>
    <xf borderId="54" fillId="6" fontId="4" numFmtId="0" xfId="0" applyAlignment="1" applyBorder="1" applyFill="1" applyFont="1">
      <alignment horizontal="left" vertical="center"/>
    </xf>
    <xf borderId="47" fillId="0" fontId="1" numFmtId="0" xfId="0" applyAlignment="1" applyBorder="1" applyFont="1">
      <alignment horizontal="center" vertical="center"/>
    </xf>
    <xf borderId="55" fillId="6" fontId="4" numFmtId="0" xfId="0" applyAlignment="1" applyBorder="1" applyFont="1">
      <alignment horizontal="left" vertical="center"/>
    </xf>
    <xf borderId="56" fillId="6" fontId="4" numFmtId="0" xfId="0" applyAlignment="1" applyBorder="1" applyFont="1">
      <alignment horizontal="left" vertical="center"/>
    </xf>
    <xf borderId="57" fillId="0" fontId="4" numFmtId="0" xfId="0" applyAlignment="1" applyBorder="1" applyFont="1">
      <alignment horizontal="center" vertical="center"/>
    </xf>
    <xf borderId="58" fillId="0" fontId="4" numFmtId="0" xfId="0" applyAlignment="1" applyBorder="1" applyFont="1">
      <alignment horizontal="center" vertical="center"/>
    </xf>
    <xf borderId="59" fillId="7" fontId="4" numFmtId="0" xfId="0" applyBorder="1" applyFill="1" applyFont="1"/>
    <xf borderId="60" fillId="0" fontId="2" numFmtId="0" xfId="0" applyBorder="1" applyFont="1"/>
    <xf borderId="61" fillId="0" fontId="2" numFmtId="0" xfId="0" applyBorder="1" applyFont="1"/>
    <xf borderId="62" fillId="0" fontId="2" numFmtId="0" xfId="0" applyBorder="1" applyFont="1"/>
    <xf borderId="38" fillId="0" fontId="4" numFmtId="0" xfId="0" applyAlignment="1" applyBorder="1" applyFont="1">
      <alignment horizontal="center"/>
    </xf>
    <xf borderId="36" fillId="0" fontId="4" numFmtId="0" xfId="0" applyAlignment="1" applyBorder="1" applyFont="1">
      <alignment horizontal="center"/>
    </xf>
    <xf borderId="30" fillId="0" fontId="4" numFmtId="0" xfId="0" applyAlignment="1" applyBorder="1" applyFont="1">
      <alignment horizontal="center"/>
    </xf>
    <xf borderId="33" fillId="0" fontId="4" numFmtId="0" xfId="0" applyAlignment="1" applyBorder="1" applyFont="1">
      <alignment horizontal="center"/>
    </xf>
    <xf borderId="16" fillId="0" fontId="4" numFmtId="0" xfId="0" applyBorder="1" applyFont="1"/>
    <xf borderId="0" fillId="0" fontId="4" numFmtId="0" xfId="0" applyFont="1"/>
    <xf borderId="63" fillId="0" fontId="2" numFmtId="0" xfId="0" applyBorder="1" applyFont="1"/>
    <xf borderId="64" fillId="0" fontId="2" numFmtId="0" xfId="0" applyBorder="1" applyFont="1"/>
    <xf borderId="36" fillId="0" fontId="4" numFmtId="0" xfId="0" applyAlignment="1" applyBorder="1" applyFont="1">
      <alignment horizontal="center" vertical="center"/>
    </xf>
    <xf borderId="43" fillId="7" fontId="4" numFmtId="0" xfId="0" applyBorder="1" applyFont="1"/>
    <xf borderId="33" fillId="0" fontId="1" numFmtId="0" xfId="0" applyAlignment="1" applyBorder="1" applyFont="1">
      <alignment horizontal="center"/>
    </xf>
    <xf borderId="65" fillId="3" fontId="3" numFmtId="0" xfId="0" applyAlignment="1" applyBorder="1" applyFont="1">
      <alignment horizontal="center" vertical="center"/>
    </xf>
    <xf borderId="66" fillId="0" fontId="2" numFmtId="0" xfId="0" applyBorder="1" applyFont="1"/>
    <xf borderId="38" fillId="0" fontId="4" numFmtId="0" xfId="0" applyAlignment="1" applyBorder="1" applyFont="1">
      <alignment horizontal="center" readingOrder="0" vertical="center"/>
    </xf>
    <xf borderId="47" fillId="0" fontId="4" numFmtId="0" xfId="0" applyAlignment="1" applyBorder="1" applyFont="1">
      <alignment horizontal="center" readingOrder="0" vertical="center"/>
    </xf>
    <xf borderId="41" fillId="0" fontId="4" numFmtId="0" xfId="0" applyAlignment="1" applyBorder="1" applyFont="1">
      <alignment horizontal="center" readingOrder="0" vertical="center"/>
    </xf>
    <xf borderId="29" fillId="0" fontId="4" numFmtId="0" xfId="0" applyAlignment="1" applyBorder="1" applyFont="1">
      <alignment horizontal="center" readingOrder="0" vertical="center"/>
    </xf>
    <xf borderId="57" fillId="0" fontId="4" numFmtId="0" xfId="0" applyAlignment="1" applyBorder="1" applyFont="1">
      <alignment horizontal="center" readingOrder="0" vertical="center"/>
    </xf>
    <xf borderId="42" fillId="0" fontId="4" numFmtId="0" xfId="0" applyAlignment="1" applyBorder="1" applyFont="1">
      <alignment horizontal="center" readingOrder="0" vertical="center"/>
    </xf>
    <xf borderId="3" fillId="7" fontId="4" numFmtId="0" xfId="0" applyAlignment="1" applyBorder="1" applyFont="1">
      <alignment horizontal="center" vertical="center"/>
    </xf>
    <xf borderId="30" fillId="0" fontId="4" numFmtId="0" xfId="0" applyAlignment="1" applyBorder="1" applyFont="1">
      <alignment horizontal="center" readingOrder="0" vertical="center"/>
    </xf>
    <xf borderId="33" fillId="0" fontId="4" numFmtId="0" xfId="0" applyAlignment="1" applyBorder="1" applyFont="1">
      <alignment horizontal="center" readingOrder="0" vertical="center"/>
    </xf>
    <xf borderId="34" fillId="0" fontId="4" numFmtId="0" xfId="0" applyAlignment="1" applyBorder="1" applyFont="1">
      <alignment horizontal="center" readingOrder="0" vertical="center"/>
    </xf>
    <xf borderId="40" fillId="0" fontId="4" numFmtId="0" xfId="0" applyAlignment="1" applyBorder="1" applyFont="1">
      <alignment horizontal="center" readingOrder="0" vertical="center"/>
    </xf>
    <xf borderId="48" fillId="0" fontId="4" numFmtId="0" xfId="0" applyAlignment="1" applyBorder="1" applyFont="1">
      <alignment horizontal="center" readingOrder="0"/>
    </xf>
    <xf borderId="33" fillId="0" fontId="4" numFmtId="0" xfId="0" applyAlignment="1" applyBorder="1" applyFont="1">
      <alignment horizontal="center" readingOrder="0"/>
    </xf>
    <xf borderId="51" fillId="0" fontId="4" numFmtId="0" xfId="0" applyAlignment="1" applyBorder="1" applyFont="1">
      <alignment horizontal="center" readingOrder="0" vertical="center"/>
    </xf>
    <xf borderId="33" fillId="0" fontId="4" numFmtId="0" xfId="0" applyAlignment="1" applyBorder="1" applyFont="1">
      <alignment horizontal="center" vertical="center"/>
    </xf>
    <xf borderId="37" fillId="4" fontId="4" numFmtId="0" xfId="0" applyAlignment="1" applyBorder="1" applyFont="1">
      <alignment horizontal="left" readingOrder="0" vertical="center"/>
    </xf>
    <xf borderId="39" fillId="0" fontId="4" numFmtId="0" xfId="0" applyAlignment="1" applyBorder="1" applyFont="1">
      <alignment horizontal="center" readingOrder="0" vertical="center"/>
    </xf>
    <xf borderId="47" fillId="0" fontId="4" numFmtId="0" xfId="0" applyAlignment="1" applyBorder="1" applyFont="1">
      <alignment horizontal="center" readingOrder="0"/>
    </xf>
    <xf borderId="30" fillId="0" fontId="4" numFmtId="0" xfId="0" applyAlignment="1" applyBorder="1" applyFont="1">
      <alignment horizontal="center" readingOrder="0"/>
    </xf>
    <xf borderId="36" fillId="0" fontId="5" numFmtId="0" xfId="0" applyBorder="1" applyFont="1"/>
    <xf borderId="38" fillId="0" fontId="4" numFmtId="0" xfId="0" applyAlignment="1" applyBorder="1" applyFont="1">
      <alignment horizontal="center" readingOrder="0"/>
    </xf>
    <xf borderId="36" fillId="0" fontId="4" numFmtId="0" xfId="0" applyAlignment="1" applyBorder="1" applyFont="1">
      <alignment horizontal="center" readingOrder="0"/>
    </xf>
    <xf borderId="30" fillId="0" fontId="6" numFmtId="0" xfId="0" applyAlignment="1" applyBorder="1" applyFont="1">
      <alignment horizontal="center" readingOrder="0" vertical="center"/>
    </xf>
    <xf borderId="30" fillId="0" fontId="6" numFmtId="0" xfId="0" applyAlignment="1" applyBorder="1" applyFont="1">
      <alignment horizontal="center" vertical="center"/>
    </xf>
    <xf borderId="38" fillId="0" fontId="6" numFmtId="0" xfId="0" applyAlignment="1" applyBorder="1" applyFont="1">
      <alignment horizontal="center" vertical="center"/>
    </xf>
    <xf borderId="38" fillId="0" fontId="6" numFmtId="0" xfId="0" applyAlignment="1" applyBorder="1" applyFont="1">
      <alignment horizontal="center" readingOrder="0" vertical="center"/>
    </xf>
    <xf borderId="41" fillId="0" fontId="6" numFmtId="0" xfId="0" applyAlignment="1" applyBorder="1" applyFont="1">
      <alignment horizontal="center" readingOrder="0" vertical="center"/>
    </xf>
    <xf borderId="41" fillId="0" fontId="6" numFmtId="0" xfId="0" applyAlignment="1" applyBorder="1" applyFont="1">
      <alignment horizontal="center" vertical="center"/>
    </xf>
    <xf borderId="47" fillId="0" fontId="6" numFmtId="0" xfId="0" applyAlignment="1" applyBorder="1" applyFont="1">
      <alignment horizontal="center" readingOrder="0" vertical="center"/>
    </xf>
    <xf borderId="47" fillId="0" fontId="6" numFmtId="0" xfId="0" applyAlignment="1" applyBorder="1" applyFont="1">
      <alignment horizontal="center" vertical="center"/>
    </xf>
    <xf borderId="57" fillId="0" fontId="6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vertical="center"/>
    </xf>
    <xf borderId="7" fillId="3" fontId="7" numFmtId="0" xfId="0" applyAlignment="1" applyBorder="1" applyFont="1">
      <alignment horizontal="center" vertical="center"/>
    </xf>
    <xf borderId="3" fillId="7" fontId="6" numFmtId="0" xfId="0" applyAlignment="1" applyBorder="1" applyFont="1">
      <alignment horizontal="center" vertical="center"/>
    </xf>
    <xf borderId="36" fillId="0" fontId="6" numFmtId="0" xfId="0" applyAlignment="1" applyBorder="1" applyFont="1">
      <alignment horizontal="center" vertical="center"/>
    </xf>
    <xf borderId="40" fillId="0" fontId="6" numFmtId="0" xfId="0" applyAlignment="1" applyBorder="1" applyFont="1">
      <alignment horizontal="center" vertical="center"/>
    </xf>
    <xf borderId="41" fillId="0" fontId="8" numFmtId="0" xfId="0" applyAlignment="1" applyBorder="1" applyFont="1">
      <alignment horizontal="center" vertical="center"/>
    </xf>
    <xf borderId="29" fillId="0" fontId="6" numFmtId="0" xfId="0" applyAlignment="1" applyBorder="1" applyFont="1">
      <alignment horizontal="center" vertical="center"/>
    </xf>
    <xf borderId="47" fillId="0" fontId="8" numFmtId="0" xfId="0" applyAlignment="1" applyBorder="1" applyFont="1">
      <alignment horizontal="center" vertical="center"/>
    </xf>
    <xf borderId="34" fillId="0" fontId="6" numFmtId="0" xfId="0" applyAlignment="1" applyBorder="1" applyFont="1">
      <alignment horizontal="center" vertical="center"/>
    </xf>
    <xf borderId="38" fillId="0" fontId="8" numFmtId="0" xfId="0" applyAlignment="1" applyBorder="1" applyFont="1">
      <alignment horizontal="center" vertical="center"/>
    </xf>
    <xf borderId="57" fillId="0" fontId="6" numFmtId="0" xfId="0" applyAlignment="1" applyBorder="1" applyFont="1">
      <alignment horizontal="center" vertical="center"/>
    </xf>
    <xf borderId="37" fillId="4" fontId="6" numFmtId="0" xfId="0" applyAlignment="1" applyBorder="1" applyFont="1">
      <alignment horizontal="left" readingOrder="0" vertical="center"/>
    </xf>
    <xf borderId="40" fillId="0" fontId="6" numFmtId="0" xfId="0" applyAlignment="1" applyBorder="1" applyFont="1">
      <alignment horizontal="center" readingOrder="0" vertical="center"/>
    </xf>
    <xf borderId="39" fillId="0" fontId="6" numFmtId="0" xfId="0" applyAlignment="1" applyBorder="1" applyFont="1">
      <alignment horizontal="center" vertical="center"/>
    </xf>
    <xf borderId="16" fillId="0" fontId="6" numFmtId="0" xfId="0" applyAlignment="1" applyBorder="1" applyFont="1">
      <alignment horizontal="center" vertical="center"/>
    </xf>
    <xf borderId="31" fillId="0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48" fillId="0" fontId="6" numFmtId="0" xfId="0" applyAlignment="1" applyBorder="1" applyFont="1">
      <alignment horizontal="center"/>
    </xf>
    <xf borderId="47" fillId="0" fontId="6" numFmtId="0" xfId="0" applyAlignment="1" applyBorder="1" applyFont="1">
      <alignment horizontal="center" readingOrder="0"/>
    </xf>
    <xf borderId="48" fillId="0" fontId="4" numFmtId="0" xfId="0" applyAlignment="1" applyBorder="1" applyFont="1">
      <alignment horizontal="center"/>
    </xf>
    <xf borderId="48" fillId="0" fontId="5" numFmtId="0" xfId="0" applyBorder="1" applyFont="1"/>
    <xf borderId="33" fillId="0" fontId="6" numFmtId="0" xfId="0" applyAlignment="1" applyBorder="1" applyFont="1">
      <alignment horizontal="center"/>
    </xf>
    <xf borderId="30" fillId="0" fontId="6" numFmtId="0" xfId="0" applyAlignment="1" applyBorder="1" applyFont="1">
      <alignment horizontal="center" readingOrder="0"/>
    </xf>
    <xf borderId="33" fillId="0" fontId="4" numFmtId="0" xfId="0" applyAlignment="1" applyBorder="1" applyFont="1">
      <alignment horizontal="center"/>
    </xf>
    <xf borderId="33" fillId="0" fontId="5" numFmtId="0" xfId="0" applyBorder="1" applyFont="1"/>
    <xf borderId="22" fillId="0" fontId="9" numFmtId="0" xfId="0" applyBorder="1" applyFont="1"/>
    <xf borderId="52" fillId="0" fontId="9" numFmtId="0" xfId="0" applyBorder="1" applyFont="1"/>
    <xf borderId="22" fillId="0" fontId="5" numFmtId="0" xfId="0" applyBorder="1" applyFont="1"/>
    <xf borderId="52" fillId="0" fontId="5" numFmtId="0" xfId="0" applyBorder="1" applyFont="1"/>
    <xf borderId="0" fillId="0" fontId="4" numFmtId="0" xfId="0" applyAlignment="1" applyFont="1">
      <alignment horizontal="left"/>
    </xf>
    <xf borderId="39" fillId="0" fontId="4" numFmtId="0" xfId="0" applyAlignment="1" applyBorder="1" applyFont="1">
      <alignment horizontal="left" readingOrder="0" vertical="center"/>
    </xf>
    <xf borderId="31" fillId="0" fontId="4" numFmtId="0" xfId="0" applyAlignment="1" applyBorder="1" applyFont="1">
      <alignment horizontal="center" readingOrder="0" vertical="center"/>
    </xf>
    <xf borderId="30" fillId="8" fontId="4" numFmtId="0" xfId="0" applyAlignment="1" applyBorder="1" applyFill="1" applyFont="1">
      <alignment horizontal="center" vertical="center"/>
    </xf>
    <xf borderId="67" fillId="4" fontId="4" numFmtId="0" xfId="0" applyAlignment="1" applyBorder="1" applyFont="1">
      <alignment horizontal="left" vertical="center"/>
    </xf>
    <xf borderId="68" fillId="0" fontId="4" numFmtId="0" xfId="0" applyAlignment="1" applyBorder="1" applyFont="1">
      <alignment horizontal="center" readingOrder="0" vertical="center"/>
    </xf>
    <xf borderId="69" fillId="0" fontId="4" numFmtId="0" xfId="0" applyAlignment="1" applyBorder="1" applyFont="1">
      <alignment horizontal="center" vertical="center"/>
    </xf>
    <xf borderId="38" fillId="8" fontId="4" numFmtId="0" xfId="0" applyAlignment="1" applyBorder="1" applyFont="1">
      <alignment horizontal="center" vertical="center"/>
    </xf>
    <xf borderId="36" fillId="8" fontId="4" numFmtId="0" xfId="0" applyAlignment="1" applyBorder="1" applyFont="1">
      <alignment horizontal="center"/>
    </xf>
    <xf borderId="33" fillId="8" fontId="4" numFmtId="0" xfId="0" applyAlignment="1" applyBorder="1" applyFont="1">
      <alignment horizontal="center"/>
    </xf>
    <xf borderId="41" fillId="8" fontId="4" numFmtId="0" xfId="0" applyAlignment="1" applyBorder="1" applyFont="1">
      <alignment horizontal="center" vertical="center"/>
    </xf>
    <xf borderId="41" fillId="8" fontId="4" numFmtId="0" xfId="0" applyAlignment="1" applyBorder="1" applyFont="1">
      <alignment horizontal="center" readingOrder="0" vertical="center"/>
    </xf>
    <xf borderId="47" fillId="8" fontId="4" numFmtId="0" xfId="0" applyAlignment="1" applyBorder="1" applyFont="1">
      <alignment horizontal="center" readingOrder="0" vertical="center"/>
    </xf>
    <xf borderId="47" fillId="8" fontId="4" numFmtId="0" xfId="0" applyAlignment="1" applyBorder="1" applyFont="1">
      <alignment horizontal="center" vertical="center"/>
    </xf>
    <xf borderId="57" fillId="8" fontId="4" numFmtId="0" xfId="0" applyAlignment="1" applyBorder="1" applyFont="1">
      <alignment horizontal="center" vertical="center"/>
    </xf>
    <xf borderId="8" fillId="3" fontId="3" numFmtId="0" xfId="0" applyAlignment="1" applyBorder="1" applyFont="1">
      <alignment horizontal="center" readingOrder="0" vertical="center"/>
    </xf>
    <xf borderId="9" fillId="0" fontId="4" numFmtId="0" xfId="0" applyAlignment="1" applyBorder="1" applyFont="1">
      <alignment horizontal="center" vertical="center"/>
    </xf>
    <xf borderId="30" fillId="8" fontId="4" numFmtId="0" xfId="0" applyAlignment="1" applyBorder="1" applyFont="1">
      <alignment horizontal="center" readingOrder="0" vertical="center"/>
    </xf>
    <xf borderId="48" fillId="0" fontId="5" numFmtId="0" xfId="0" applyAlignment="1" applyBorder="1" applyFont="1">
      <alignment horizontal="center" readingOrder="0"/>
    </xf>
    <xf borderId="38" fillId="8" fontId="4" numFmtId="0" xfId="0" applyAlignment="1" applyBorder="1" applyFont="1">
      <alignment horizontal="center" readingOrder="0" vertical="center"/>
    </xf>
    <xf borderId="33" fillId="0" fontId="5" numFmtId="0" xfId="0" applyAlignment="1" applyBorder="1" applyFont="1">
      <alignment horizontal="center"/>
    </xf>
    <xf borderId="33" fillId="8" fontId="1" numFmtId="0" xfId="0" applyAlignment="1" applyBorder="1" applyFont="1">
      <alignment horizontal="center"/>
    </xf>
    <xf borderId="33" fillId="0" fontId="5" numFmtId="0" xfId="0" applyAlignment="1" applyBorder="1" applyFont="1">
      <alignment horizontal="center" readingOrder="0"/>
    </xf>
    <xf borderId="52" fillId="0" fontId="5" numFmtId="0" xfId="0" applyAlignment="1" applyBorder="1" applyFont="1">
      <alignment horizontal="center"/>
    </xf>
    <xf borderId="47" fillId="8" fontId="4" numFmtId="0" xfId="0" applyAlignment="1" applyBorder="1" applyFont="1">
      <alignment horizontal="center"/>
    </xf>
    <xf borderId="30" fillId="8" fontId="4" numFmtId="0" xfId="0" applyAlignment="1" applyBorder="1" applyFont="1">
      <alignment horizontal="center"/>
    </xf>
    <xf borderId="55" fillId="6" fontId="4" numFmtId="0" xfId="0" applyAlignment="1" applyBorder="1" applyFont="1">
      <alignment horizontal="left" readingOrder="0" vertical="center"/>
    </xf>
    <xf borderId="57" fillId="8" fontId="4" numFmtId="0" xfId="0" applyAlignment="1" applyBorder="1" applyFont="1">
      <alignment horizontal="center" readingOrder="0" vertical="center"/>
    </xf>
    <xf borderId="31" fillId="8" fontId="4" numFmtId="0" xfId="0" applyAlignment="1" applyBorder="1" applyFont="1">
      <alignment horizontal="center" readingOrder="0" vertical="center"/>
    </xf>
    <xf borderId="39" fillId="8" fontId="4" numFmtId="0" xfId="0" applyAlignment="1" applyBorder="1" applyFont="1">
      <alignment horizontal="center" vertical="center"/>
    </xf>
    <xf borderId="38" fillId="8" fontId="4" numFmtId="0" xfId="0" applyAlignment="1" applyBorder="1" applyFont="1">
      <alignment horizontal="center"/>
    </xf>
    <xf borderId="36" fillId="8" fontId="4" numFmtId="0" xfId="0" applyAlignment="1" applyBorder="1" applyFont="1">
      <alignment horizontal="center" vertical="center"/>
    </xf>
    <xf borderId="42" fillId="8" fontId="4" numFmtId="0" xfId="0" applyAlignment="1" applyBorder="1" applyFont="1">
      <alignment horizontal="center" vertical="center"/>
    </xf>
    <xf borderId="48" fillId="8" fontId="4" numFmtId="0" xfId="0" applyAlignment="1" applyBorder="1" applyFont="1">
      <alignment horizontal="center"/>
    </xf>
    <xf borderId="45" fillId="8" fontId="4" numFmtId="0" xfId="0" applyAlignment="1" applyBorder="1" applyFont="1">
      <alignment horizontal="center" vertical="center"/>
    </xf>
    <xf borderId="41" fillId="9" fontId="4" numFmtId="0" xfId="0" applyAlignment="1" applyBorder="1" applyFill="1" applyFont="1">
      <alignment horizontal="center" vertical="center"/>
    </xf>
    <xf borderId="42" fillId="8" fontId="4" numFmtId="0" xfId="0" applyAlignment="1" applyBorder="1" applyFont="1">
      <alignment horizontal="center" readingOrder="0" vertical="center"/>
    </xf>
    <xf borderId="30" fillId="9" fontId="4" numFmtId="0" xfId="0" applyAlignment="1" applyBorder="1" applyFont="1">
      <alignment horizontal="center" vertical="center"/>
    </xf>
    <xf borderId="40" fillId="9" fontId="4" numFmtId="0" xfId="0" applyAlignment="1" applyBorder="1" applyFont="1">
      <alignment horizontal="center" vertical="center"/>
    </xf>
    <xf borderId="41" fillId="9" fontId="4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25"/>
    <col customWidth="1" min="2" max="2" width="25.63"/>
    <col customWidth="1" min="3" max="43" width="5.3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3"/>
      <c r="AI1" s="3"/>
      <c r="AJ1" s="3"/>
      <c r="AK1" s="3"/>
      <c r="AL1" s="3"/>
      <c r="AM1" s="3"/>
      <c r="AN1" s="3"/>
      <c r="AO1" s="3"/>
      <c r="AP1" s="3"/>
      <c r="AQ1" s="3"/>
    </row>
    <row r="2">
      <c r="A2" s="4" t="s">
        <v>0</v>
      </c>
      <c r="B2" s="5"/>
      <c r="C2" s="6">
        <v>1.0</v>
      </c>
      <c r="D2" s="7">
        <v>2.0</v>
      </c>
      <c r="E2" s="8">
        <v>3.0</v>
      </c>
      <c r="F2" s="9">
        <v>4.0</v>
      </c>
      <c r="G2" s="9">
        <v>5.0</v>
      </c>
      <c r="H2" s="10">
        <v>6.0</v>
      </c>
      <c r="I2" s="11">
        <v>7.0</v>
      </c>
      <c r="J2" s="12">
        <v>8.0</v>
      </c>
      <c r="K2" s="13">
        <v>9.0</v>
      </c>
      <c r="L2" s="14">
        <v>10.0</v>
      </c>
      <c r="M2" s="9">
        <v>11.0</v>
      </c>
      <c r="N2" s="9">
        <v>12.0</v>
      </c>
      <c r="O2" s="10">
        <v>13.0</v>
      </c>
      <c r="P2" s="11">
        <v>14.0</v>
      </c>
      <c r="Q2" s="12">
        <v>15.0</v>
      </c>
      <c r="R2" s="11">
        <v>16.0</v>
      </c>
      <c r="S2" s="9">
        <v>17.0</v>
      </c>
      <c r="T2" s="9">
        <v>18.0</v>
      </c>
      <c r="U2" s="9">
        <v>19.0</v>
      </c>
      <c r="V2" s="15">
        <v>20.0</v>
      </c>
      <c r="W2" s="16">
        <v>21.0</v>
      </c>
      <c r="X2" s="17">
        <v>22.0</v>
      </c>
      <c r="Y2" s="7">
        <v>23.0</v>
      </c>
      <c r="Z2" s="8">
        <v>24.0</v>
      </c>
      <c r="AA2" s="8">
        <v>25.0</v>
      </c>
      <c r="AB2" s="8">
        <v>26.0</v>
      </c>
      <c r="AC2" s="15">
        <v>27.0</v>
      </c>
      <c r="AD2" s="18">
        <v>28.0</v>
      </c>
      <c r="AE2" s="19">
        <v>29.0</v>
      </c>
      <c r="AF2" s="6">
        <v>30.0</v>
      </c>
      <c r="AG2" s="20">
        <v>31.0</v>
      </c>
      <c r="AH2" s="21"/>
      <c r="AI2" s="22" t="s">
        <v>1</v>
      </c>
      <c r="AJ2" s="5"/>
      <c r="AK2" s="5"/>
      <c r="AL2" s="5"/>
      <c r="AM2" s="22" t="s">
        <v>2</v>
      </c>
      <c r="AN2" s="5"/>
      <c r="AO2" s="5"/>
      <c r="AP2" s="23"/>
      <c r="AQ2" s="24"/>
    </row>
    <row r="3">
      <c r="A3" s="25"/>
      <c r="B3" s="2"/>
      <c r="C3" s="26"/>
      <c r="D3" s="27"/>
      <c r="E3" s="28"/>
      <c r="F3" s="28"/>
      <c r="G3" s="28"/>
      <c r="H3" s="29"/>
      <c r="I3" s="30"/>
      <c r="J3" s="31"/>
      <c r="K3" s="27"/>
      <c r="L3" s="28"/>
      <c r="M3" s="28"/>
      <c r="N3" s="28"/>
      <c r="O3" s="29"/>
      <c r="P3" s="30"/>
      <c r="Q3" s="31"/>
      <c r="R3" s="30"/>
      <c r="S3" s="28"/>
      <c r="T3" s="28"/>
      <c r="U3" s="28"/>
      <c r="V3" s="29"/>
      <c r="W3" s="30"/>
      <c r="X3" s="31"/>
      <c r="Y3" s="27"/>
      <c r="Z3" s="28"/>
      <c r="AA3" s="28"/>
      <c r="AB3" s="28"/>
      <c r="AC3" s="29"/>
      <c r="AD3" s="25"/>
      <c r="AE3" s="32"/>
      <c r="AF3" s="26"/>
      <c r="AG3" s="2"/>
      <c r="AH3" s="21"/>
      <c r="AI3" s="25"/>
      <c r="AJ3" s="2"/>
      <c r="AK3" s="2"/>
      <c r="AL3" s="2"/>
      <c r="AM3" s="25"/>
      <c r="AN3" s="2"/>
      <c r="AO3" s="2"/>
      <c r="AP3" s="33"/>
      <c r="AQ3" s="24"/>
    </row>
    <row r="4">
      <c r="A4" s="34" t="s">
        <v>3</v>
      </c>
      <c r="B4" s="35" t="s">
        <v>4</v>
      </c>
      <c r="C4" s="36"/>
      <c r="D4" s="37"/>
      <c r="E4" s="37">
        <v>12.0</v>
      </c>
      <c r="F4" s="37">
        <v>12.0</v>
      </c>
      <c r="G4" s="37"/>
      <c r="H4" s="37">
        <v>12.0</v>
      </c>
      <c r="I4" s="37">
        <v>12.0</v>
      </c>
      <c r="J4" s="37"/>
      <c r="K4" s="37"/>
      <c r="L4" s="37"/>
      <c r="M4" s="37"/>
      <c r="N4" s="37"/>
      <c r="O4" s="37">
        <v>7.0</v>
      </c>
      <c r="P4" s="37"/>
      <c r="Q4" s="37"/>
      <c r="R4" s="37">
        <v>12.0</v>
      </c>
      <c r="S4" s="37">
        <v>12.0</v>
      </c>
      <c r="T4" s="37"/>
      <c r="U4" s="37"/>
      <c r="V4" s="37"/>
      <c r="W4" s="38"/>
      <c r="X4" s="37"/>
      <c r="Y4" s="37"/>
      <c r="Z4" s="37">
        <v>12.0</v>
      </c>
      <c r="AA4" s="37">
        <v>12.0</v>
      </c>
      <c r="AB4" s="37">
        <v>12.0</v>
      </c>
      <c r="AC4" s="37"/>
      <c r="AD4" s="37">
        <v>12.0</v>
      </c>
      <c r="AE4" s="37">
        <v>12.0</v>
      </c>
      <c r="AF4" s="37">
        <v>12.0</v>
      </c>
      <c r="AG4" s="39"/>
      <c r="AH4" s="40"/>
      <c r="AI4" s="39">
        <f t="shared" ref="AI4:AI20" si="1">SUM(C4:AG4)</f>
        <v>151</v>
      </c>
      <c r="AJ4" s="41"/>
      <c r="AK4" s="41"/>
      <c r="AL4" s="42"/>
      <c r="AM4" s="43">
        <f t="array" ref="AM4:AP4">AI4:AL4/4</f>
        <v>37.75</v>
      </c>
      <c r="AN4" s="44"/>
      <c r="AO4" s="44"/>
      <c r="AP4" s="45"/>
      <c r="AQ4" s="46"/>
    </row>
    <row r="5">
      <c r="A5" s="47"/>
      <c r="B5" s="48" t="s">
        <v>5</v>
      </c>
      <c r="C5" s="43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50"/>
      <c r="AH5" s="40"/>
      <c r="AI5" s="39">
        <f t="shared" si="1"/>
        <v>0</v>
      </c>
      <c r="AJ5" s="41"/>
      <c r="AK5" s="41"/>
      <c r="AL5" s="42"/>
      <c r="AM5" s="43">
        <f t="array" ref="AM5:AP5">AI5:AL5/4</f>
        <v>0</v>
      </c>
      <c r="AN5" s="44"/>
      <c r="AO5" s="44"/>
      <c r="AP5" s="45"/>
      <c r="AQ5" s="46"/>
    </row>
    <row r="6">
      <c r="A6" s="47"/>
      <c r="B6" s="48" t="s">
        <v>6</v>
      </c>
      <c r="C6" s="43"/>
      <c r="D6" s="49">
        <v>12.0</v>
      </c>
      <c r="E6" s="49">
        <v>12.0</v>
      </c>
      <c r="F6" s="49">
        <v>12.0</v>
      </c>
      <c r="G6" s="49">
        <v>12.0</v>
      </c>
      <c r="H6" s="49">
        <v>12.0</v>
      </c>
      <c r="I6" s="49">
        <v>12.0</v>
      </c>
      <c r="J6" s="49"/>
      <c r="K6" s="49"/>
      <c r="L6" s="49"/>
      <c r="M6" s="49"/>
      <c r="N6" s="49">
        <v>12.0</v>
      </c>
      <c r="O6" s="49"/>
      <c r="P6" s="49">
        <v>12.0</v>
      </c>
      <c r="Q6" s="49">
        <v>12.0</v>
      </c>
      <c r="R6" s="49">
        <v>12.0</v>
      </c>
      <c r="S6" s="49">
        <v>12.0</v>
      </c>
      <c r="T6" s="49">
        <v>12.0</v>
      </c>
      <c r="U6" s="49">
        <v>12.0</v>
      </c>
      <c r="V6" s="49"/>
      <c r="W6" s="51"/>
      <c r="X6" s="49"/>
      <c r="Y6" s="49">
        <v>12.0</v>
      </c>
      <c r="Z6" s="49">
        <v>12.0</v>
      </c>
      <c r="AA6" s="49">
        <v>12.0</v>
      </c>
      <c r="AB6" s="49">
        <v>12.0</v>
      </c>
      <c r="AC6" s="49">
        <v>12.0</v>
      </c>
      <c r="AD6" s="49">
        <v>12.0</v>
      </c>
      <c r="AE6" s="49">
        <v>12.0</v>
      </c>
      <c r="AF6" s="49">
        <v>12.0</v>
      </c>
      <c r="AG6" s="50"/>
      <c r="AH6" s="40"/>
      <c r="AI6" s="39">
        <f t="shared" si="1"/>
        <v>252</v>
      </c>
      <c r="AJ6" s="41"/>
      <c r="AK6" s="41"/>
      <c r="AL6" s="42"/>
      <c r="AM6" s="43">
        <f t="array" ref="AM6:AP6">AI6:AL6/4</f>
        <v>63</v>
      </c>
      <c r="AN6" s="44"/>
      <c r="AO6" s="44"/>
      <c r="AP6" s="45"/>
      <c r="AQ6" s="46"/>
    </row>
    <row r="7">
      <c r="A7" s="47"/>
      <c r="B7" s="48" t="s">
        <v>7</v>
      </c>
      <c r="C7" s="43"/>
      <c r="D7" s="49">
        <v>12.0</v>
      </c>
      <c r="E7" s="49">
        <v>12.0</v>
      </c>
      <c r="F7" s="49">
        <v>12.0</v>
      </c>
      <c r="G7" s="49">
        <v>12.0</v>
      </c>
      <c r="H7" s="49">
        <v>12.0</v>
      </c>
      <c r="I7" s="49">
        <v>12.0</v>
      </c>
      <c r="J7" s="49"/>
      <c r="K7" s="49"/>
      <c r="L7" s="49"/>
      <c r="M7" s="49"/>
      <c r="N7" s="49">
        <v>12.0</v>
      </c>
      <c r="O7" s="49"/>
      <c r="P7" s="49">
        <v>12.0</v>
      </c>
      <c r="Q7" s="49">
        <v>12.0</v>
      </c>
      <c r="R7" s="49">
        <v>12.0</v>
      </c>
      <c r="S7" s="49">
        <v>12.0</v>
      </c>
      <c r="T7" s="49">
        <v>12.0</v>
      </c>
      <c r="U7" s="49">
        <v>12.0</v>
      </c>
      <c r="V7" s="49"/>
      <c r="W7" s="51"/>
      <c r="X7" s="49"/>
      <c r="Y7" s="49">
        <v>12.0</v>
      </c>
      <c r="Z7" s="49">
        <v>12.0</v>
      </c>
      <c r="AA7" s="49">
        <v>12.0</v>
      </c>
      <c r="AB7" s="49">
        <v>12.0</v>
      </c>
      <c r="AC7" s="49"/>
      <c r="AD7" s="49">
        <v>12.0</v>
      </c>
      <c r="AE7" s="49">
        <v>12.0</v>
      </c>
      <c r="AF7" s="49">
        <v>12.0</v>
      </c>
      <c r="AG7" s="50"/>
      <c r="AH7" s="40"/>
      <c r="AI7" s="39">
        <f t="shared" si="1"/>
        <v>240</v>
      </c>
      <c r="AJ7" s="41"/>
      <c r="AK7" s="41"/>
      <c r="AL7" s="42"/>
      <c r="AM7" s="43">
        <f t="array" ref="AM7:AP7">AI7:AL7/4</f>
        <v>60</v>
      </c>
      <c r="AN7" s="44"/>
      <c r="AO7" s="44"/>
      <c r="AP7" s="45"/>
      <c r="AQ7" s="46"/>
    </row>
    <row r="8">
      <c r="A8" s="47"/>
      <c r="B8" s="48"/>
      <c r="C8" s="52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4"/>
      <c r="S8" s="54"/>
      <c r="T8" s="54"/>
      <c r="U8" s="54"/>
      <c r="V8" s="54"/>
      <c r="W8" s="54"/>
      <c r="X8" s="53"/>
      <c r="Y8" s="53"/>
      <c r="Z8" s="53"/>
      <c r="AA8" s="53"/>
      <c r="AB8" s="53"/>
      <c r="AC8" s="53"/>
      <c r="AD8" s="53"/>
      <c r="AE8" s="53"/>
      <c r="AF8" s="53"/>
      <c r="AG8" s="55"/>
      <c r="AH8" s="40"/>
      <c r="AI8" s="39">
        <f t="shared" si="1"/>
        <v>0</v>
      </c>
      <c r="AJ8" s="41"/>
      <c r="AK8" s="41"/>
      <c r="AL8" s="42"/>
      <c r="AM8" s="43">
        <f t="array" ref="AM8:AP8">AI8:AL8/4</f>
        <v>0</v>
      </c>
      <c r="AN8" s="44"/>
      <c r="AO8" s="44"/>
      <c r="AP8" s="45"/>
      <c r="AQ8" s="46"/>
    </row>
    <row r="9">
      <c r="A9" s="47"/>
      <c r="B9" s="48"/>
      <c r="C9" s="52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5"/>
      <c r="AH9" s="40"/>
      <c r="AI9" s="39">
        <f t="shared" si="1"/>
        <v>0</v>
      </c>
      <c r="AJ9" s="41"/>
      <c r="AK9" s="41"/>
      <c r="AL9" s="42"/>
      <c r="AM9" s="43">
        <f t="array" ref="AM9:AP9">AI9:AL9/4</f>
        <v>0</v>
      </c>
      <c r="AN9" s="44"/>
      <c r="AO9" s="44"/>
      <c r="AP9" s="45"/>
      <c r="AQ9" s="46"/>
    </row>
    <row r="10">
      <c r="A10" s="47"/>
      <c r="B10" s="48"/>
      <c r="C10" s="52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5"/>
      <c r="AH10" s="40"/>
      <c r="AI10" s="39">
        <f t="shared" si="1"/>
        <v>0</v>
      </c>
      <c r="AJ10" s="41"/>
      <c r="AK10" s="41"/>
      <c r="AL10" s="42"/>
      <c r="AM10" s="43">
        <f t="array" ref="AM10:AP10">AI10:AL10/4</f>
        <v>0</v>
      </c>
      <c r="AN10" s="44"/>
      <c r="AO10" s="44"/>
      <c r="AP10" s="45"/>
      <c r="AQ10" s="46"/>
    </row>
    <row r="11">
      <c r="A11" s="30"/>
      <c r="B11" s="48"/>
      <c r="C11" s="52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5"/>
      <c r="AH11" s="40"/>
      <c r="AI11" s="55">
        <f t="shared" si="1"/>
        <v>0</v>
      </c>
      <c r="AJ11" s="56"/>
      <c r="AK11" s="56"/>
      <c r="AL11" s="57"/>
      <c r="AM11" s="52">
        <f t="array" ref="AM11:AP11">AI11:AL11/4</f>
        <v>0</v>
      </c>
      <c r="AN11" s="56"/>
      <c r="AO11" s="56"/>
      <c r="AP11" s="57"/>
      <c r="AQ11" s="46"/>
    </row>
    <row r="12">
      <c r="A12" s="58" t="s">
        <v>8</v>
      </c>
      <c r="B12" s="59" t="s">
        <v>9</v>
      </c>
      <c r="C12" s="60">
        <v>24.0</v>
      </c>
      <c r="D12" s="61">
        <v>12.0</v>
      </c>
      <c r="E12" s="61"/>
      <c r="F12" s="61"/>
      <c r="G12" s="61"/>
      <c r="H12" s="61"/>
      <c r="I12" s="61"/>
      <c r="J12" s="61">
        <v>24.0</v>
      </c>
      <c r="K12" s="61">
        <v>24.0</v>
      </c>
      <c r="L12" s="61">
        <v>24.0</v>
      </c>
      <c r="M12" s="61">
        <v>24.0</v>
      </c>
      <c r="N12" s="61">
        <v>12.0</v>
      </c>
      <c r="O12" s="61">
        <v>19.0</v>
      </c>
      <c r="P12" s="61">
        <v>12.0</v>
      </c>
      <c r="Q12" s="61"/>
      <c r="R12" s="61"/>
      <c r="S12" s="62"/>
      <c r="T12" s="63"/>
      <c r="U12" s="62"/>
      <c r="V12" s="63">
        <v>24.0</v>
      </c>
      <c r="W12" s="62">
        <v>24.0</v>
      </c>
      <c r="X12" s="62">
        <v>24.0</v>
      </c>
      <c r="Y12" s="63">
        <v>12.0</v>
      </c>
      <c r="Z12" s="61"/>
      <c r="AA12" s="61"/>
      <c r="AB12" s="61"/>
      <c r="AC12" s="61"/>
      <c r="AD12" s="61"/>
      <c r="AE12" s="61"/>
      <c r="AF12" s="61"/>
      <c r="AG12" s="61">
        <v>24.0</v>
      </c>
      <c r="AH12" s="40"/>
      <c r="AI12" s="64">
        <f t="shared" si="1"/>
        <v>283</v>
      </c>
      <c r="AJ12" s="65"/>
      <c r="AK12" s="65"/>
      <c r="AL12" s="66"/>
      <c r="AM12" s="36">
        <f t="array" ref="AM12:AP12">AI12:AL12/4</f>
        <v>70.75</v>
      </c>
      <c r="AN12" s="65"/>
      <c r="AO12" s="65"/>
      <c r="AP12" s="66"/>
      <c r="AQ12" s="46"/>
    </row>
    <row r="13">
      <c r="A13" s="67"/>
      <c r="B13" s="68" t="s">
        <v>10</v>
      </c>
      <c r="C13" s="69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70"/>
      <c r="T13" s="71"/>
      <c r="U13" s="70"/>
      <c r="V13" s="71"/>
      <c r="W13" s="70"/>
      <c r="X13" s="70"/>
      <c r="Y13" s="71"/>
      <c r="Z13" s="53"/>
      <c r="AA13" s="53"/>
      <c r="AB13" s="53"/>
      <c r="AC13" s="53"/>
      <c r="AD13" s="53"/>
      <c r="AE13" s="53"/>
      <c r="AF13" s="53"/>
      <c r="AG13" s="53"/>
      <c r="AH13" s="40"/>
      <c r="AI13" s="39">
        <f t="shared" si="1"/>
        <v>0</v>
      </c>
      <c r="AJ13" s="41"/>
      <c r="AK13" s="41"/>
      <c r="AL13" s="42"/>
      <c r="AM13" s="43">
        <f t="array" ref="AM13:AP13">AI13:AL13/4</f>
        <v>0</v>
      </c>
      <c r="AN13" s="44"/>
      <c r="AO13" s="44"/>
      <c r="AP13" s="45"/>
      <c r="AQ13" s="46"/>
    </row>
    <row r="14">
      <c r="A14" s="32"/>
      <c r="B14" s="68" t="s">
        <v>5</v>
      </c>
      <c r="C14" s="69">
        <v>24.0</v>
      </c>
      <c r="D14" s="53">
        <v>12.0</v>
      </c>
      <c r="E14" s="53"/>
      <c r="F14" s="53"/>
      <c r="G14" s="54"/>
      <c r="H14" s="53"/>
      <c r="I14" s="53"/>
      <c r="J14" s="53">
        <v>24.0</v>
      </c>
      <c r="K14" s="53">
        <v>24.0</v>
      </c>
      <c r="L14" s="53">
        <v>24.0</v>
      </c>
      <c r="M14" s="53">
        <v>24.0</v>
      </c>
      <c r="N14" s="53">
        <v>12.0</v>
      </c>
      <c r="O14" s="53">
        <v>19.0</v>
      </c>
      <c r="P14" s="53">
        <v>12.0</v>
      </c>
      <c r="Q14" s="53"/>
      <c r="R14" s="53"/>
      <c r="S14" s="72"/>
      <c r="T14" s="73"/>
      <c r="U14" s="72"/>
      <c r="V14" s="73">
        <v>24.0</v>
      </c>
      <c r="W14" s="72">
        <v>24.0</v>
      </c>
      <c r="X14" s="72">
        <v>24.0</v>
      </c>
      <c r="Y14" s="73">
        <v>12.0</v>
      </c>
      <c r="Z14" s="53"/>
      <c r="AA14" s="53"/>
      <c r="AB14" s="53"/>
      <c r="AC14" s="53"/>
      <c r="AD14" s="53"/>
      <c r="AE14" s="53"/>
      <c r="AF14" s="53"/>
      <c r="AG14" s="53">
        <v>24.0</v>
      </c>
      <c r="AH14" s="40"/>
      <c r="AI14" s="55">
        <f t="shared" si="1"/>
        <v>283</v>
      </c>
      <c r="AJ14" s="56"/>
      <c r="AK14" s="56"/>
      <c r="AL14" s="57"/>
      <c r="AM14" s="40">
        <f t="array" ref="AM14:AP14">AI14:AL14/4</f>
        <v>70.75</v>
      </c>
      <c r="AP14" s="74"/>
      <c r="AQ14" s="46"/>
    </row>
    <row r="15">
      <c r="A15" s="75" t="s">
        <v>11</v>
      </c>
      <c r="B15" s="76" t="s">
        <v>12</v>
      </c>
      <c r="C15" s="36"/>
      <c r="D15" s="61"/>
      <c r="E15" s="77"/>
      <c r="F15" s="77"/>
      <c r="G15" s="77">
        <v>12.0</v>
      </c>
      <c r="H15" s="77"/>
      <c r="I15" s="77"/>
      <c r="J15" s="77"/>
      <c r="K15" s="77"/>
      <c r="L15" s="61"/>
      <c r="M15" s="61"/>
      <c r="N15" s="61"/>
      <c r="O15" s="61"/>
      <c r="P15" s="61"/>
      <c r="Q15" s="61">
        <v>3.0</v>
      </c>
      <c r="R15" s="61"/>
      <c r="S15" s="61"/>
      <c r="T15" s="61"/>
      <c r="U15" s="61"/>
      <c r="V15" s="61"/>
      <c r="W15" s="61"/>
      <c r="X15" s="61"/>
      <c r="Y15" s="61"/>
      <c r="Z15" s="61"/>
      <c r="AA15" s="61">
        <v>9.0</v>
      </c>
      <c r="AB15" s="61"/>
      <c r="AC15" s="61">
        <v>12.0</v>
      </c>
      <c r="AD15" s="61"/>
      <c r="AE15" s="61">
        <v>9.0</v>
      </c>
      <c r="AF15" s="61"/>
      <c r="AG15" s="64"/>
      <c r="AH15" s="40"/>
      <c r="AI15" s="64">
        <f t="shared" si="1"/>
        <v>45</v>
      </c>
      <c r="AJ15" s="65"/>
      <c r="AK15" s="65"/>
      <c r="AL15" s="66"/>
      <c r="AM15" s="36">
        <f t="array" ref="AM15:AP15">AI15:AL15/4</f>
        <v>11.25</v>
      </c>
      <c r="AN15" s="65"/>
      <c r="AO15" s="65"/>
      <c r="AP15" s="66"/>
      <c r="AQ15" s="46"/>
    </row>
    <row r="16">
      <c r="A16" s="47"/>
      <c r="B16" s="78" t="s">
        <v>13</v>
      </c>
      <c r="C16" s="43"/>
      <c r="D16" s="49"/>
      <c r="E16" s="49">
        <v>9.0</v>
      </c>
      <c r="F16" s="49">
        <v>9.0</v>
      </c>
      <c r="G16" s="51">
        <v>9.0</v>
      </c>
      <c r="H16" s="49">
        <v>9.0</v>
      </c>
      <c r="I16" s="49">
        <v>9.0</v>
      </c>
      <c r="J16" s="51"/>
      <c r="K16" s="51"/>
      <c r="L16" s="49"/>
      <c r="M16" s="49"/>
      <c r="N16" s="49"/>
      <c r="O16" s="49">
        <v>9.0</v>
      </c>
      <c r="P16" s="49"/>
      <c r="Q16" s="49">
        <v>9.0</v>
      </c>
      <c r="R16" s="49">
        <v>9.0</v>
      </c>
      <c r="S16" s="49">
        <v>9.0</v>
      </c>
      <c r="T16" s="49"/>
      <c r="U16" s="49"/>
      <c r="V16" s="49"/>
      <c r="W16" s="49"/>
      <c r="X16" s="49"/>
      <c r="Y16" s="49"/>
      <c r="Z16" s="49">
        <v>9.0</v>
      </c>
      <c r="AA16" s="49"/>
      <c r="AB16" s="49">
        <v>9.0</v>
      </c>
      <c r="AC16" s="49">
        <v>9.0</v>
      </c>
      <c r="AD16" s="49">
        <v>9.0</v>
      </c>
      <c r="AE16" s="49"/>
      <c r="AF16" s="49">
        <v>9.0</v>
      </c>
      <c r="AG16" s="50"/>
      <c r="AH16" s="40"/>
      <c r="AI16" s="39">
        <f t="shared" si="1"/>
        <v>126</v>
      </c>
      <c r="AJ16" s="41"/>
      <c r="AK16" s="41"/>
      <c r="AL16" s="42"/>
      <c r="AM16" s="43">
        <f t="array" ref="AM16:AP16">AI16:AL16/4</f>
        <v>31.5</v>
      </c>
      <c r="AN16" s="44"/>
      <c r="AO16" s="44"/>
      <c r="AP16" s="45"/>
      <c r="AQ16" s="46"/>
    </row>
    <row r="17">
      <c r="A17" s="47"/>
      <c r="B17" s="78" t="s">
        <v>14</v>
      </c>
      <c r="C17" s="43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50"/>
      <c r="AH17" s="40"/>
      <c r="AI17" s="39">
        <f t="shared" si="1"/>
        <v>0</v>
      </c>
      <c r="AJ17" s="41"/>
      <c r="AK17" s="41"/>
      <c r="AL17" s="42"/>
      <c r="AM17" s="43">
        <f t="array" ref="AM17:AP17">AI17:AL17/4</f>
        <v>0</v>
      </c>
      <c r="AN17" s="44"/>
      <c r="AO17" s="44"/>
      <c r="AP17" s="45"/>
      <c r="AQ17" s="46"/>
    </row>
    <row r="18">
      <c r="A18" s="47"/>
      <c r="B18" s="78"/>
      <c r="C18" s="43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50"/>
      <c r="AH18" s="40"/>
      <c r="AI18" s="39">
        <f t="shared" si="1"/>
        <v>0</v>
      </c>
      <c r="AJ18" s="41"/>
      <c r="AK18" s="41"/>
      <c r="AL18" s="42"/>
      <c r="AM18" s="43">
        <f t="array" ref="AM18:AP18">AI18:AL18/4</f>
        <v>0</v>
      </c>
      <c r="AN18" s="44"/>
      <c r="AO18" s="44"/>
      <c r="AP18" s="45"/>
      <c r="AQ18" s="46"/>
    </row>
    <row r="19">
      <c r="A19" s="47"/>
      <c r="B19" s="78"/>
      <c r="C19" s="43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50"/>
      <c r="AH19" s="40"/>
      <c r="AI19" s="39">
        <f t="shared" si="1"/>
        <v>0</v>
      </c>
      <c r="AJ19" s="41"/>
      <c r="AK19" s="41"/>
      <c r="AL19" s="42"/>
      <c r="AM19" s="43">
        <f t="array" ref="AM19:AP19">AI19:AL19/4</f>
        <v>0</v>
      </c>
      <c r="AN19" s="44"/>
      <c r="AO19" s="44"/>
      <c r="AP19" s="45"/>
      <c r="AQ19" s="46"/>
    </row>
    <row r="20">
      <c r="A20" s="30"/>
      <c r="B20" s="79" t="s">
        <v>15</v>
      </c>
      <c r="C20" s="52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>
        <v>12.0</v>
      </c>
      <c r="Q20" s="80">
        <v>12.0</v>
      </c>
      <c r="R20" s="80"/>
      <c r="S20" s="80"/>
      <c r="T20" s="80"/>
      <c r="U20" s="80"/>
      <c r="V20" s="80"/>
      <c r="W20" s="80"/>
      <c r="X20" s="80"/>
      <c r="Y20" s="80"/>
      <c r="Z20" s="80"/>
      <c r="AA20" s="80">
        <v>12.0</v>
      </c>
      <c r="AB20" s="80"/>
      <c r="AC20" s="80">
        <v>12.0</v>
      </c>
      <c r="AD20" s="80">
        <v>12.0</v>
      </c>
      <c r="AE20" s="80"/>
      <c r="AF20" s="80"/>
      <c r="AG20" s="81"/>
      <c r="AH20" s="40"/>
      <c r="AI20" s="55">
        <f t="shared" si="1"/>
        <v>60</v>
      </c>
      <c r="AJ20" s="56"/>
      <c r="AK20" s="56"/>
      <c r="AL20" s="57"/>
      <c r="AM20" s="43">
        <f t="array" ref="AM20:AP20">AI20:AL20/4</f>
        <v>15</v>
      </c>
      <c r="AN20" s="44"/>
      <c r="AO20" s="44"/>
      <c r="AP20" s="45"/>
      <c r="AQ20" s="46"/>
    </row>
    <row r="21" ht="15.75" customHeight="1">
      <c r="A21" s="4" t="s">
        <v>16</v>
      </c>
      <c r="B21" s="5"/>
      <c r="C21" s="6">
        <v>1.0</v>
      </c>
      <c r="D21" s="13">
        <v>2.0</v>
      </c>
      <c r="E21" s="14">
        <v>3.0</v>
      </c>
      <c r="F21" s="9">
        <v>4.0</v>
      </c>
      <c r="G21" s="9">
        <v>5.0</v>
      </c>
      <c r="H21" s="10">
        <v>6.0</v>
      </c>
      <c r="I21" s="11">
        <v>7.0</v>
      </c>
      <c r="J21" s="12">
        <v>8.0</v>
      </c>
      <c r="K21" s="13">
        <v>9.0</v>
      </c>
      <c r="L21" s="14">
        <v>10.0</v>
      </c>
      <c r="M21" s="9">
        <v>11.0</v>
      </c>
      <c r="N21" s="9">
        <v>12.0</v>
      </c>
      <c r="O21" s="10">
        <v>13.0</v>
      </c>
      <c r="P21" s="11">
        <v>14.0</v>
      </c>
      <c r="Q21" s="12">
        <v>15.0</v>
      </c>
      <c r="R21" s="11">
        <v>16.0</v>
      </c>
      <c r="S21" s="9">
        <v>17.0</v>
      </c>
      <c r="T21" s="9">
        <v>18.0</v>
      </c>
      <c r="U21" s="9">
        <v>19.0</v>
      </c>
      <c r="V21" s="15">
        <v>20.0</v>
      </c>
      <c r="W21" s="16">
        <v>21.0</v>
      </c>
      <c r="X21" s="17">
        <v>22.0</v>
      </c>
      <c r="Y21" s="7">
        <v>23.0</v>
      </c>
      <c r="Z21" s="8">
        <v>24.0</v>
      </c>
      <c r="AA21" s="8">
        <v>25.0</v>
      </c>
      <c r="AB21" s="8">
        <v>26.0</v>
      </c>
      <c r="AC21" s="15">
        <v>27.0</v>
      </c>
      <c r="AD21" s="18">
        <v>28.0</v>
      </c>
      <c r="AE21" s="82" t="s">
        <v>17</v>
      </c>
      <c r="AF21" s="56"/>
      <c r="AG21" s="83"/>
      <c r="AH21" s="40"/>
      <c r="AI21" s="22" t="s">
        <v>1</v>
      </c>
      <c r="AJ21" s="5"/>
      <c r="AK21" s="5"/>
      <c r="AL21" s="5"/>
      <c r="AM21" s="22" t="s">
        <v>2</v>
      </c>
      <c r="AN21" s="5"/>
      <c r="AO21" s="5"/>
      <c r="AP21" s="23"/>
      <c r="AQ21" s="24"/>
    </row>
    <row r="22" ht="15.75" customHeight="1">
      <c r="A22" s="25"/>
      <c r="B22" s="2"/>
      <c r="C22" s="26"/>
      <c r="D22" s="27"/>
      <c r="E22" s="28"/>
      <c r="F22" s="28"/>
      <c r="G22" s="28"/>
      <c r="H22" s="29"/>
      <c r="I22" s="30"/>
      <c r="J22" s="31"/>
      <c r="K22" s="27"/>
      <c r="L22" s="28"/>
      <c r="M22" s="28"/>
      <c r="N22" s="28"/>
      <c r="O22" s="29"/>
      <c r="P22" s="30"/>
      <c r="Q22" s="31"/>
      <c r="R22" s="30"/>
      <c r="S22" s="28"/>
      <c r="T22" s="28"/>
      <c r="U22" s="28"/>
      <c r="V22" s="29"/>
      <c r="W22" s="30"/>
      <c r="X22" s="31"/>
      <c r="Y22" s="27"/>
      <c r="Z22" s="28"/>
      <c r="AA22" s="28"/>
      <c r="AB22" s="28"/>
      <c r="AC22" s="29"/>
      <c r="AD22" s="25"/>
      <c r="AE22" s="84"/>
      <c r="AG22" s="85"/>
      <c r="AH22" s="40"/>
      <c r="AI22" s="25"/>
      <c r="AJ22" s="2"/>
      <c r="AK22" s="2"/>
      <c r="AL22" s="2"/>
      <c r="AM22" s="25"/>
      <c r="AN22" s="2"/>
      <c r="AO22" s="2"/>
      <c r="AP22" s="33"/>
      <c r="AQ22" s="24"/>
    </row>
    <row r="23" ht="15.75" customHeight="1">
      <c r="A23" s="34" t="s">
        <v>3</v>
      </c>
      <c r="B23" s="35" t="s">
        <v>4</v>
      </c>
      <c r="C23" s="36"/>
      <c r="D23" s="37"/>
      <c r="E23" s="37"/>
      <c r="F23" s="37"/>
      <c r="G23" s="37"/>
      <c r="H23" s="37"/>
      <c r="I23" s="37"/>
      <c r="J23" s="37">
        <v>12.0</v>
      </c>
      <c r="K23" s="37">
        <v>12.0</v>
      </c>
      <c r="L23" s="37"/>
      <c r="M23" s="37">
        <v>7.0</v>
      </c>
      <c r="N23" s="37"/>
      <c r="O23" s="37"/>
      <c r="P23" s="37"/>
      <c r="Q23" s="37"/>
      <c r="R23" s="37"/>
      <c r="S23" s="37">
        <v>12.0</v>
      </c>
      <c r="T23" s="37">
        <v>12.0</v>
      </c>
      <c r="U23" s="37">
        <v>12.0</v>
      </c>
      <c r="V23" s="37"/>
      <c r="W23" s="37">
        <v>12.0</v>
      </c>
      <c r="X23" s="37">
        <v>12.0</v>
      </c>
      <c r="Y23" s="37"/>
      <c r="Z23" s="37">
        <v>12.0</v>
      </c>
      <c r="AA23" s="37"/>
      <c r="AB23" s="37">
        <v>12.0</v>
      </c>
      <c r="AC23" s="37">
        <v>12.0</v>
      </c>
      <c r="AD23" s="39">
        <v>12.0</v>
      </c>
      <c r="AE23" s="84"/>
      <c r="AG23" s="85"/>
      <c r="AH23" s="40"/>
      <c r="AI23" s="39">
        <f t="shared" ref="AI23:AI39" si="2">SUM(C23:AG23)</f>
        <v>139</v>
      </c>
      <c r="AJ23" s="41"/>
      <c r="AK23" s="41"/>
      <c r="AL23" s="42"/>
      <c r="AM23" s="43">
        <f t="array" ref="AM23:AP23">AI23:AL23/4</f>
        <v>34.75</v>
      </c>
      <c r="AN23" s="44"/>
      <c r="AO23" s="44"/>
      <c r="AP23" s="45"/>
      <c r="AQ23" s="46"/>
    </row>
    <row r="24" ht="15.75" customHeight="1">
      <c r="A24" s="47"/>
      <c r="B24" s="48" t="s">
        <v>5</v>
      </c>
      <c r="C24" s="43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50"/>
      <c r="AE24" s="84"/>
      <c r="AG24" s="85"/>
      <c r="AH24" s="40"/>
      <c r="AI24" s="39">
        <f t="shared" si="2"/>
        <v>0</v>
      </c>
      <c r="AJ24" s="41"/>
      <c r="AK24" s="41"/>
      <c r="AL24" s="42"/>
      <c r="AM24" s="43">
        <f t="array" ref="AM24:AP24">AI24:AL24/4</f>
        <v>0</v>
      </c>
      <c r="AN24" s="44"/>
      <c r="AO24" s="44"/>
      <c r="AP24" s="45"/>
      <c r="AQ24" s="46"/>
    </row>
    <row r="25" ht="15.75" customHeight="1">
      <c r="A25" s="47"/>
      <c r="B25" s="48" t="s">
        <v>6</v>
      </c>
      <c r="C25" s="43"/>
      <c r="D25" s="49"/>
      <c r="E25" s="49"/>
      <c r="F25" s="49"/>
      <c r="G25" s="49"/>
      <c r="H25" s="49"/>
      <c r="I25" s="49">
        <v>12.0</v>
      </c>
      <c r="J25" s="49">
        <v>12.0</v>
      </c>
      <c r="K25" s="49">
        <v>12.0</v>
      </c>
      <c r="L25" s="49">
        <v>12.0</v>
      </c>
      <c r="M25" s="49"/>
      <c r="N25" s="49"/>
      <c r="O25" s="49"/>
      <c r="P25" s="49"/>
      <c r="Q25" s="49"/>
      <c r="R25" s="49">
        <v>12.0</v>
      </c>
      <c r="S25" s="86">
        <v>12.0</v>
      </c>
      <c r="T25" s="87">
        <v>12.0</v>
      </c>
      <c r="U25" s="87"/>
      <c r="V25" s="87">
        <v>12.0</v>
      </c>
      <c r="W25" s="87">
        <v>12.0</v>
      </c>
      <c r="X25" s="86">
        <v>12.0</v>
      </c>
      <c r="Y25" s="86"/>
      <c r="Z25" s="86">
        <v>12.0</v>
      </c>
      <c r="AA25" s="87">
        <v>12.0</v>
      </c>
      <c r="AB25" s="87">
        <v>12.0</v>
      </c>
      <c r="AC25" s="87"/>
      <c r="AD25" s="87">
        <v>12.0</v>
      </c>
      <c r="AE25" s="84"/>
      <c r="AG25" s="85"/>
      <c r="AH25" s="40"/>
      <c r="AI25" s="39">
        <f t="shared" si="2"/>
        <v>168</v>
      </c>
      <c r="AJ25" s="41"/>
      <c r="AK25" s="41"/>
      <c r="AL25" s="42"/>
      <c r="AM25" s="43">
        <f t="array" ref="AM25:AP25">AI25:AL25/4</f>
        <v>42</v>
      </c>
      <c r="AN25" s="44"/>
      <c r="AO25" s="44"/>
      <c r="AP25" s="45"/>
      <c r="AQ25" s="46"/>
    </row>
    <row r="26" ht="15.75" customHeight="1">
      <c r="A26" s="47"/>
      <c r="B26" s="48" t="s">
        <v>7</v>
      </c>
      <c r="C26" s="43"/>
      <c r="D26" s="49"/>
      <c r="E26" s="49"/>
      <c r="F26" s="49"/>
      <c r="G26" s="49"/>
      <c r="H26" s="49"/>
      <c r="I26" s="49">
        <v>12.0</v>
      </c>
      <c r="J26" s="49">
        <v>12.0</v>
      </c>
      <c r="K26" s="49">
        <v>12.0</v>
      </c>
      <c r="L26" s="49">
        <v>12.0</v>
      </c>
      <c r="M26" s="49"/>
      <c r="N26" s="49"/>
      <c r="O26" s="49"/>
      <c r="P26" s="49"/>
      <c r="Q26" s="51"/>
      <c r="R26" s="49">
        <v>12.0</v>
      </c>
      <c r="S26" s="88">
        <v>12.0</v>
      </c>
      <c r="T26" s="89">
        <v>12.0</v>
      </c>
      <c r="U26" s="89">
        <v>12.0</v>
      </c>
      <c r="V26" s="89"/>
      <c r="W26" s="89">
        <v>12.0</v>
      </c>
      <c r="X26" s="88">
        <v>12.0</v>
      </c>
      <c r="Y26" s="88">
        <v>12.0</v>
      </c>
      <c r="Z26" s="88">
        <v>12.0</v>
      </c>
      <c r="AA26" s="89"/>
      <c r="AB26" s="89"/>
      <c r="AC26" s="89">
        <v>12.0</v>
      </c>
      <c r="AD26" s="89">
        <v>12.0</v>
      </c>
      <c r="AE26" s="84"/>
      <c r="AG26" s="85"/>
      <c r="AH26" s="40"/>
      <c r="AI26" s="39">
        <f t="shared" si="2"/>
        <v>168</v>
      </c>
      <c r="AJ26" s="41"/>
      <c r="AK26" s="41"/>
      <c r="AL26" s="42"/>
      <c r="AM26" s="43">
        <f t="array" ref="AM26:AP26">AI26:AL26/4</f>
        <v>42</v>
      </c>
      <c r="AN26" s="44"/>
      <c r="AO26" s="44"/>
      <c r="AP26" s="45"/>
      <c r="AQ26" s="46"/>
    </row>
    <row r="27" ht="15.75" customHeight="1">
      <c r="A27" s="47"/>
      <c r="B27" s="48"/>
      <c r="C27" s="52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5"/>
      <c r="AE27" s="84"/>
      <c r="AG27" s="85"/>
      <c r="AH27" s="40"/>
      <c r="AI27" s="39">
        <f t="shared" si="2"/>
        <v>0</v>
      </c>
      <c r="AJ27" s="41"/>
      <c r="AK27" s="41"/>
      <c r="AL27" s="42"/>
      <c r="AM27" s="43">
        <f t="array" ref="AM27:AP27">AI27:AL27/4</f>
        <v>0</v>
      </c>
      <c r="AN27" s="44"/>
      <c r="AO27" s="44"/>
      <c r="AP27" s="45"/>
      <c r="AQ27" s="46"/>
    </row>
    <row r="28" ht="15.75" customHeight="1">
      <c r="A28" s="47"/>
      <c r="B28" s="48"/>
      <c r="C28" s="52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5"/>
      <c r="AE28" s="84"/>
      <c r="AG28" s="85"/>
      <c r="AH28" s="40"/>
      <c r="AI28" s="39">
        <f t="shared" si="2"/>
        <v>0</v>
      </c>
      <c r="AJ28" s="41"/>
      <c r="AK28" s="41"/>
      <c r="AL28" s="42"/>
      <c r="AM28" s="43">
        <f t="array" ref="AM28:AP28">AI28:AL28/4</f>
        <v>0</v>
      </c>
      <c r="AN28" s="44"/>
      <c r="AO28" s="44"/>
      <c r="AP28" s="45"/>
      <c r="AQ28" s="46"/>
    </row>
    <row r="29" ht="15.75" customHeight="1">
      <c r="A29" s="47"/>
      <c r="B29" s="48"/>
      <c r="C29" s="52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5"/>
      <c r="AE29" s="84"/>
      <c r="AG29" s="85"/>
      <c r="AH29" s="40"/>
      <c r="AI29" s="39">
        <f t="shared" si="2"/>
        <v>0</v>
      </c>
      <c r="AJ29" s="41"/>
      <c r="AK29" s="41"/>
      <c r="AL29" s="42"/>
      <c r="AM29" s="43">
        <f t="array" ref="AM29:AP29">AI29:AL29/4</f>
        <v>0</v>
      </c>
      <c r="AN29" s="44"/>
      <c r="AO29" s="44"/>
      <c r="AP29" s="45"/>
      <c r="AQ29" s="46"/>
    </row>
    <row r="30" ht="15.75" customHeight="1">
      <c r="A30" s="30"/>
      <c r="B30" s="48"/>
      <c r="C30" s="52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5"/>
      <c r="AE30" s="84"/>
      <c r="AG30" s="85"/>
      <c r="AH30" s="40"/>
      <c r="AI30" s="55">
        <f t="shared" si="2"/>
        <v>0</v>
      </c>
      <c r="AJ30" s="56"/>
      <c r="AK30" s="56"/>
      <c r="AL30" s="57"/>
      <c r="AM30" s="52">
        <f t="array" ref="AM30:AP30">AI30:AL30/4</f>
        <v>0</v>
      </c>
      <c r="AN30" s="56"/>
      <c r="AO30" s="56"/>
      <c r="AP30" s="57"/>
      <c r="AQ30" s="46"/>
    </row>
    <row r="31" ht="15.75" customHeight="1">
      <c r="A31" s="58" t="s">
        <v>8</v>
      </c>
      <c r="B31" s="59" t="s">
        <v>9</v>
      </c>
      <c r="C31" s="36">
        <v>24.0</v>
      </c>
      <c r="D31" s="61">
        <v>24.0</v>
      </c>
      <c r="E31" s="61">
        <v>24.0</v>
      </c>
      <c r="F31" s="61">
        <v>24.0</v>
      </c>
      <c r="G31" s="61">
        <v>24.0</v>
      </c>
      <c r="H31" s="61">
        <v>24.0</v>
      </c>
      <c r="I31" s="61">
        <v>12.0</v>
      </c>
      <c r="J31" s="61"/>
      <c r="K31" s="61"/>
      <c r="L31" s="61"/>
      <c r="M31" s="61">
        <v>17.0</v>
      </c>
      <c r="N31" s="61">
        <v>24.0</v>
      </c>
      <c r="O31" s="61">
        <v>24.0</v>
      </c>
      <c r="P31" s="61">
        <v>24.0</v>
      </c>
      <c r="Q31" s="61">
        <v>24.0</v>
      </c>
      <c r="R31" s="61">
        <v>12.0</v>
      </c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4"/>
      <c r="AE31" s="84"/>
      <c r="AG31" s="85"/>
      <c r="AH31" s="40"/>
      <c r="AI31" s="64">
        <f t="shared" si="2"/>
        <v>281</v>
      </c>
      <c r="AJ31" s="65"/>
      <c r="AK31" s="65"/>
      <c r="AL31" s="66"/>
      <c r="AM31" s="36">
        <f t="array" ref="AM31:AP31">AI31:AL31/4</f>
        <v>70.25</v>
      </c>
      <c r="AN31" s="65"/>
      <c r="AO31" s="65"/>
      <c r="AP31" s="66"/>
      <c r="AQ31" s="46"/>
    </row>
    <row r="32" ht="15.75" customHeight="1">
      <c r="A32" s="67"/>
      <c r="B32" s="68" t="s">
        <v>18</v>
      </c>
      <c r="C32" s="52">
        <v>24.0</v>
      </c>
      <c r="D32" s="53">
        <v>24.0</v>
      </c>
      <c r="E32" s="53">
        <v>24.0</v>
      </c>
      <c r="F32" s="53">
        <v>24.0</v>
      </c>
      <c r="G32" s="53">
        <v>24.0</v>
      </c>
      <c r="H32" s="53">
        <v>24.0</v>
      </c>
      <c r="I32" s="53">
        <v>12.0</v>
      </c>
      <c r="J32" s="53"/>
      <c r="K32" s="53"/>
      <c r="L32" s="53"/>
      <c r="M32" s="53">
        <v>17.0</v>
      </c>
      <c r="N32" s="53">
        <v>24.0</v>
      </c>
      <c r="O32" s="53">
        <v>24.0</v>
      </c>
      <c r="P32" s="53">
        <v>24.0</v>
      </c>
      <c r="Q32" s="53">
        <v>24.0</v>
      </c>
      <c r="R32" s="53">
        <v>12.0</v>
      </c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5"/>
      <c r="AE32" s="84"/>
      <c r="AG32" s="85"/>
      <c r="AH32" s="40"/>
      <c r="AI32" s="39">
        <f t="shared" si="2"/>
        <v>281</v>
      </c>
      <c r="AJ32" s="41"/>
      <c r="AK32" s="41"/>
      <c r="AL32" s="42"/>
      <c r="AM32" s="43">
        <f t="array" ref="AM32:AP32">AI32:AL32/4</f>
        <v>70.25</v>
      </c>
      <c r="AN32" s="44"/>
      <c r="AO32" s="44"/>
      <c r="AP32" s="45"/>
      <c r="AQ32" s="46"/>
    </row>
    <row r="33" ht="15.75" customHeight="1">
      <c r="A33" s="32"/>
      <c r="B33" s="68"/>
      <c r="C33" s="52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5"/>
      <c r="AE33" s="84"/>
      <c r="AG33" s="85"/>
      <c r="AH33" s="40"/>
      <c r="AI33" s="55">
        <f t="shared" si="2"/>
        <v>0</v>
      </c>
      <c r="AJ33" s="56"/>
      <c r="AK33" s="56"/>
      <c r="AL33" s="57"/>
      <c r="AM33" s="40">
        <f t="array" ref="AM33:AP33">AI33:AL33/4</f>
        <v>0</v>
      </c>
      <c r="AP33" s="74"/>
      <c r="AQ33" s="46"/>
    </row>
    <row r="34" ht="15.75" customHeight="1">
      <c r="A34" s="75" t="s">
        <v>11</v>
      </c>
      <c r="B34" s="76" t="s">
        <v>12</v>
      </c>
      <c r="C34" s="36"/>
      <c r="D34" s="61"/>
      <c r="E34" s="61"/>
      <c r="F34" s="61"/>
      <c r="G34" s="61"/>
      <c r="H34" s="61"/>
      <c r="I34" s="61"/>
      <c r="J34" s="61"/>
      <c r="K34" s="61"/>
      <c r="L34" s="61">
        <v>12.0</v>
      </c>
      <c r="M34" s="61"/>
      <c r="N34" s="61"/>
      <c r="O34" s="61"/>
      <c r="P34" s="61"/>
      <c r="Q34" s="61"/>
      <c r="R34" s="61"/>
      <c r="S34" s="61"/>
      <c r="T34" s="61"/>
      <c r="U34" s="61"/>
      <c r="V34" s="61">
        <v>12.0</v>
      </c>
      <c r="W34" s="61">
        <v>9.0</v>
      </c>
      <c r="X34" s="61"/>
      <c r="Y34" s="61">
        <v>12.0</v>
      </c>
      <c r="Z34" s="61"/>
      <c r="AA34" s="61">
        <v>12.0</v>
      </c>
      <c r="AB34" s="61"/>
      <c r="AC34" s="61">
        <v>9.0</v>
      </c>
      <c r="AD34" s="64"/>
      <c r="AE34" s="84"/>
      <c r="AG34" s="85"/>
      <c r="AH34" s="40"/>
      <c r="AI34" s="64">
        <f t="shared" si="2"/>
        <v>66</v>
      </c>
      <c r="AJ34" s="65"/>
      <c r="AK34" s="65"/>
      <c r="AL34" s="66"/>
      <c r="AM34" s="36">
        <f t="array" ref="AM34:AP34">AI34:AL34/4</f>
        <v>16.5</v>
      </c>
      <c r="AN34" s="65"/>
      <c r="AO34" s="65"/>
      <c r="AP34" s="66"/>
      <c r="AQ34" s="46"/>
    </row>
    <row r="35" ht="15.75" customHeight="1">
      <c r="A35" s="47"/>
      <c r="B35" s="78" t="s">
        <v>13</v>
      </c>
      <c r="C35" s="43"/>
      <c r="D35" s="49"/>
      <c r="E35" s="49"/>
      <c r="F35" s="49"/>
      <c r="G35" s="49"/>
      <c r="H35" s="49"/>
      <c r="I35" s="49"/>
      <c r="J35" s="49">
        <v>9.0</v>
      </c>
      <c r="K35" s="49">
        <v>9.0</v>
      </c>
      <c r="L35" s="49">
        <v>9.0</v>
      </c>
      <c r="M35" s="49">
        <v>7.0</v>
      </c>
      <c r="N35" s="49"/>
      <c r="O35" s="49"/>
      <c r="P35" s="49"/>
      <c r="Q35" s="49"/>
      <c r="R35" s="49"/>
      <c r="S35" s="49">
        <v>9.0</v>
      </c>
      <c r="T35" s="49">
        <v>9.0</v>
      </c>
      <c r="U35" s="49">
        <v>9.0</v>
      </c>
      <c r="V35" s="49">
        <v>9.0</v>
      </c>
      <c r="W35" s="49"/>
      <c r="X35" s="49">
        <v>9.0</v>
      </c>
      <c r="Y35" s="49">
        <v>9.0</v>
      </c>
      <c r="Z35" s="49">
        <v>9.0</v>
      </c>
      <c r="AA35" s="49">
        <v>9.0</v>
      </c>
      <c r="AB35" s="49">
        <v>9.0</v>
      </c>
      <c r="AC35" s="49"/>
      <c r="AD35" s="50">
        <v>9.0</v>
      </c>
      <c r="AE35" s="84"/>
      <c r="AG35" s="85"/>
      <c r="AH35" s="40"/>
      <c r="AI35" s="39">
        <f t="shared" si="2"/>
        <v>124</v>
      </c>
      <c r="AJ35" s="41"/>
      <c r="AK35" s="41"/>
      <c r="AL35" s="42"/>
      <c r="AM35" s="43">
        <f t="array" ref="AM35:AP35">AI35:AL35/4</f>
        <v>31</v>
      </c>
      <c r="AN35" s="44"/>
      <c r="AO35" s="44"/>
      <c r="AP35" s="45"/>
      <c r="AQ35" s="46"/>
    </row>
    <row r="36" ht="15.75" customHeight="1">
      <c r="A36" s="47"/>
      <c r="B36" s="78" t="s">
        <v>14</v>
      </c>
      <c r="C36" s="43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50"/>
      <c r="AE36" s="84"/>
      <c r="AG36" s="85"/>
      <c r="AH36" s="90"/>
      <c r="AI36" s="39">
        <f t="shared" si="2"/>
        <v>0</v>
      </c>
      <c r="AJ36" s="41"/>
      <c r="AK36" s="41"/>
      <c r="AL36" s="42"/>
      <c r="AM36" s="43">
        <f t="array" ref="AM36:AP36">AI36:AL36/4</f>
        <v>0</v>
      </c>
      <c r="AN36" s="44"/>
      <c r="AO36" s="44"/>
      <c r="AP36" s="45"/>
      <c r="AQ36" s="91"/>
    </row>
    <row r="37" ht="15.75" customHeight="1">
      <c r="A37" s="47"/>
      <c r="B37" s="78"/>
      <c r="C37" s="43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50"/>
      <c r="AE37" s="84"/>
      <c r="AG37" s="85"/>
      <c r="AH37" s="40"/>
      <c r="AI37" s="39">
        <f t="shared" si="2"/>
        <v>0</v>
      </c>
      <c r="AJ37" s="41"/>
      <c r="AK37" s="41"/>
      <c r="AL37" s="42"/>
      <c r="AM37" s="43">
        <f t="array" ref="AM37:AP37">AI37:AL37/4</f>
        <v>0</v>
      </c>
      <c r="AN37" s="44"/>
      <c r="AO37" s="44"/>
      <c r="AP37" s="45"/>
      <c r="AQ37" s="46"/>
    </row>
    <row r="38" ht="15.75" customHeight="1">
      <c r="A38" s="47"/>
      <c r="B38" s="78"/>
      <c r="C38" s="43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50"/>
      <c r="AE38" s="84"/>
      <c r="AG38" s="85"/>
      <c r="AH38" s="40"/>
      <c r="AI38" s="39">
        <f t="shared" si="2"/>
        <v>0</v>
      </c>
      <c r="AJ38" s="41"/>
      <c r="AK38" s="41"/>
      <c r="AL38" s="42"/>
      <c r="AM38" s="43">
        <f t="array" ref="AM38:AP38">AI38:AL38/4</f>
        <v>0</v>
      </c>
      <c r="AN38" s="44"/>
      <c r="AO38" s="44"/>
      <c r="AP38" s="45"/>
      <c r="AQ38" s="46"/>
    </row>
    <row r="39" ht="15.75" customHeight="1">
      <c r="A39" s="30"/>
      <c r="B39" s="79" t="s">
        <v>15</v>
      </c>
      <c r="C39" s="69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>
        <v>12.0</v>
      </c>
      <c r="V39" s="80">
        <v>12.0</v>
      </c>
      <c r="W39" s="80"/>
      <c r="X39" s="80"/>
      <c r="Y39" s="80">
        <v>12.0</v>
      </c>
      <c r="Z39" s="80"/>
      <c r="AA39" s="80">
        <v>12.0</v>
      </c>
      <c r="AB39" s="80">
        <v>12.0</v>
      </c>
      <c r="AC39" s="80">
        <v>12.0</v>
      </c>
      <c r="AD39" s="81"/>
      <c r="AE39" s="92"/>
      <c r="AF39" s="41"/>
      <c r="AG39" s="93"/>
      <c r="AH39" s="40"/>
      <c r="AI39" s="55">
        <f t="shared" si="2"/>
        <v>72</v>
      </c>
      <c r="AJ39" s="56"/>
      <c r="AK39" s="56"/>
      <c r="AL39" s="57"/>
      <c r="AM39" s="43">
        <f t="array" ref="AM39:AP39">AI39:AL39/4</f>
        <v>18</v>
      </c>
      <c r="AN39" s="44"/>
      <c r="AO39" s="44"/>
      <c r="AP39" s="45"/>
      <c r="AQ39" s="46"/>
    </row>
    <row r="40" ht="15.75" customHeight="1">
      <c r="A40" s="4" t="s">
        <v>19</v>
      </c>
      <c r="B40" s="5"/>
      <c r="C40" s="6">
        <v>1.0</v>
      </c>
      <c r="D40" s="7">
        <v>2.0</v>
      </c>
      <c r="E40" s="8">
        <v>3.0</v>
      </c>
      <c r="F40" s="9">
        <v>4.0</v>
      </c>
      <c r="G40" s="9">
        <v>5.0</v>
      </c>
      <c r="H40" s="10">
        <v>6.0</v>
      </c>
      <c r="I40" s="11">
        <v>7.0</v>
      </c>
      <c r="J40" s="12">
        <v>8.0</v>
      </c>
      <c r="K40" s="13">
        <v>9.0</v>
      </c>
      <c r="L40" s="14">
        <v>10.0</v>
      </c>
      <c r="M40" s="9">
        <v>11.0</v>
      </c>
      <c r="N40" s="9">
        <v>12.0</v>
      </c>
      <c r="O40" s="10">
        <v>13.0</v>
      </c>
      <c r="P40" s="11">
        <v>14.0</v>
      </c>
      <c r="Q40" s="12">
        <v>15.0</v>
      </c>
      <c r="R40" s="11">
        <v>16.0</v>
      </c>
      <c r="S40" s="9">
        <v>17.0</v>
      </c>
      <c r="T40" s="9">
        <v>18.0</v>
      </c>
      <c r="U40" s="9">
        <v>19.0</v>
      </c>
      <c r="V40" s="15">
        <v>20.0</v>
      </c>
      <c r="W40" s="16">
        <v>21.0</v>
      </c>
      <c r="X40" s="17">
        <v>22.0</v>
      </c>
      <c r="Y40" s="7">
        <v>23.0</v>
      </c>
      <c r="Z40" s="8">
        <v>24.0</v>
      </c>
      <c r="AA40" s="8">
        <v>25.0</v>
      </c>
      <c r="AB40" s="8">
        <v>26.0</v>
      </c>
      <c r="AC40" s="15">
        <v>27.0</v>
      </c>
      <c r="AD40" s="18">
        <v>28.0</v>
      </c>
      <c r="AE40" s="19">
        <v>29.0</v>
      </c>
      <c r="AF40" s="6">
        <v>30.0</v>
      </c>
      <c r="AG40" s="20">
        <v>31.0</v>
      </c>
      <c r="AH40" s="21"/>
      <c r="AI40" s="22" t="s">
        <v>1</v>
      </c>
      <c r="AJ40" s="5"/>
      <c r="AK40" s="5"/>
      <c r="AL40" s="5"/>
      <c r="AM40" s="22" t="s">
        <v>2</v>
      </c>
      <c r="AN40" s="5"/>
      <c r="AO40" s="5"/>
      <c r="AP40" s="23"/>
      <c r="AQ40" s="24"/>
    </row>
    <row r="41" ht="15.75" customHeight="1">
      <c r="A41" s="25"/>
      <c r="B41" s="2"/>
      <c r="C41" s="26"/>
      <c r="D41" s="27"/>
      <c r="E41" s="28"/>
      <c r="F41" s="28"/>
      <c r="G41" s="28"/>
      <c r="H41" s="29"/>
      <c r="I41" s="30"/>
      <c r="J41" s="31"/>
      <c r="K41" s="27"/>
      <c r="L41" s="28"/>
      <c r="M41" s="28"/>
      <c r="N41" s="28"/>
      <c r="O41" s="29"/>
      <c r="P41" s="30"/>
      <c r="Q41" s="31"/>
      <c r="R41" s="30"/>
      <c r="S41" s="28"/>
      <c r="T41" s="28"/>
      <c r="U41" s="28"/>
      <c r="V41" s="29"/>
      <c r="W41" s="30"/>
      <c r="X41" s="31"/>
      <c r="Y41" s="27"/>
      <c r="Z41" s="28"/>
      <c r="AA41" s="28"/>
      <c r="AB41" s="28"/>
      <c r="AC41" s="29"/>
      <c r="AD41" s="25"/>
      <c r="AE41" s="32"/>
      <c r="AF41" s="26"/>
      <c r="AG41" s="2"/>
      <c r="AH41" s="21"/>
      <c r="AI41" s="25"/>
      <c r="AJ41" s="2"/>
      <c r="AK41" s="2"/>
      <c r="AL41" s="2"/>
      <c r="AM41" s="25"/>
      <c r="AN41" s="2"/>
      <c r="AO41" s="2"/>
      <c r="AP41" s="33"/>
      <c r="AQ41" s="24"/>
    </row>
    <row r="42" ht="15.75" customHeight="1">
      <c r="A42" s="34" t="s">
        <v>3</v>
      </c>
      <c r="B42" s="35" t="s">
        <v>4</v>
      </c>
      <c r="C42" s="36"/>
      <c r="D42" s="37">
        <v>12.0</v>
      </c>
      <c r="E42" s="37"/>
      <c r="F42" s="37"/>
      <c r="G42" s="37"/>
      <c r="H42" s="37"/>
      <c r="I42" s="37"/>
      <c r="J42" s="37"/>
      <c r="K42" s="37"/>
      <c r="L42" s="37"/>
      <c r="M42" s="37"/>
      <c r="N42" s="37">
        <v>12.0</v>
      </c>
      <c r="O42" s="37">
        <v>12.0</v>
      </c>
      <c r="P42" s="37">
        <v>12.0</v>
      </c>
      <c r="Q42" s="37"/>
      <c r="R42" s="37">
        <v>12.0</v>
      </c>
      <c r="S42" s="37">
        <v>12.0</v>
      </c>
      <c r="T42" s="37">
        <v>12.0</v>
      </c>
      <c r="U42" s="37"/>
      <c r="V42" s="37">
        <v>12.0</v>
      </c>
      <c r="W42" s="37">
        <v>12.0</v>
      </c>
      <c r="X42" s="37"/>
      <c r="Y42" s="39"/>
      <c r="Z42" s="37"/>
      <c r="AA42" s="37"/>
      <c r="AB42" s="37"/>
      <c r="AC42" s="37">
        <v>12.0</v>
      </c>
      <c r="AD42" s="37">
        <v>12.0</v>
      </c>
      <c r="AE42" s="37"/>
      <c r="AF42" s="37">
        <v>12.0</v>
      </c>
      <c r="AG42" s="37">
        <v>12.0</v>
      </c>
      <c r="AH42" s="40"/>
      <c r="AI42" s="39">
        <f t="shared" ref="AI42:AI58" si="3">SUM(C42:AG42)</f>
        <v>156</v>
      </c>
      <c r="AJ42" s="41"/>
      <c r="AK42" s="41"/>
      <c r="AL42" s="42"/>
      <c r="AM42" s="43">
        <f t="array" ref="AM42:AP42">AI42:AL42/4</f>
        <v>39</v>
      </c>
      <c r="AN42" s="44"/>
      <c r="AO42" s="44"/>
      <c r="AP42" s="45"/>
      <c r="AQ42" s="46"/>
    </row>
    <row r="43" ht="15.75" customHeight="1">
      <c r="A43" s="47"/>
      <c r="B43" s="48" t="s">
        <v>5</v>
      </c>
      <c r="C43" s="43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94"/>
      <c r="AG43" s="50"/>
      <c r="AH43" s="40"/>
      <c r="AI43" s="39">
        <f t="shared" si="3"/>
        <v>0</v>
      </c>
      <c r="AJ43" s="41"/>
      <c r="AK43" s="41"/>
      <c r="AL43" s="42"/>
      <c r="AM43" s="43">
        <f t="array" ref="AM43:AP43">AI43:AL43/4</f>
        <v>0</v>
      </c>
      <c r="AN43" s="44"/>
      <c r="AO43" s="44"/>
      <c r="AP43" s="45"/>
      <c r="AQ43" s="46"/>
    </row>
    <row r="44" ht="15.75" customHeight="1">
      <c r="A44" s="47"/>
      <c r="B44" s="48" t="s">
        <v>6</v>
      </c>
      <c r="C44" s="43">
        <v>12.0</v>
      </c>
      <c r="D44" s="49">
        <v>12.0</v>
      </c>
      <c r="E44" s="49"/>
      <c r="F44" s="49"/>
      <c r="G44" s="49"/>
      <c r="H44" s="49"/>
      <c r="I44" s="49"/>
      <c r="J44" s="49"/>
      <c r="K44" s="49"/>
      <c r="L44" s="49"/>
      <c r="M44" s="86">
        <v>12.0</v>
      </c>
      <c r="N44" s="87">
        <v>12.0</v>
      </c>
      <c r="O44" s="87">
        <v>12.0</v>
      </c>
      <c r="P44" s="87"/>
      <c r="Q44" s="87">
        <v>12.0</v>
      </c>
      <c r="R44" s="86">
        <v>12.0</v>
      </c>
      <c r="S44" s="87">
        <v>12.0</v>
      </c>
      <c r="T44" s="87"/>
      <c r="U44" s="87">
        <v>12.0</v>
      </c>
      <c r="V44" s="87">
        <v>12.0</v>
      </c>
      <c r="W44" s="87">
        <v>12.0</v>
      </c>
      <c r="X44" s="87"/>
      <c r="Y44" s="49"/>
      <c r="Z44" s="49"/>
      <c r="AA44" s="49"/>
      <c r="AB44" s="49">
        <v>12.0</v>
      </c>
      <c r="AC44" s="87">
        <v>12.0</v>
      </c>
      <c r="AD44" s="87">
        <v>12.0</v>
      </c>
      <c r="AE44" s="87"/>
      <c r="AF44" s="87">
        <v>12.0</v>
      </c>
      <c r="AG44" s="87">
        <v>12.0</v>
      </c>
      <c r="AH44" s="40"/>
      <c r="AI44" s="39">
        <f t="shared" si="3"/>
        <v>192</v>
      </c>
      <c r="AJ44" s="41"/>
      <c r="AK44" s="41"/>
      <c r="AL44" s="42"/>
      <c r="AM44" s="43">
        <f t="array" ref="AM44:AP44">AI44:AL44/4</f>
        <v>48</v>
      </c>
      <c r="AN44" s="44"/>
      <c r="AO44" s="44"/>
      <c r="AP44" s="45"/>
      <c r="AQ44" s="46"/>
    </row>
    <row r="45" ht="15.75" customHeight="1">
      <c r="A45" s="47"/>
      <c r="B45" s="48" t="s">
        <v>7</v>
      </c>
      <c r="C45" s="43">
        <v>12.0</v>
      </c>
      <c r="D45" s="49">
        <v>12.0</v>
      </c>
      <c r="E45" s="49"/>
      <c r="F45" s="49"/>
      <c r="G45" s="49"/>
      <c r="H45" s="49"/>
      <c r="I45" s="49"/>
      <c r="J45" s="49"/>
      <c r="K45" s="49"/>
      <c r="L45" s="49"/>
      <c r="M45" s="88">
        <v>12.0</v>
      </c>
      <c r="N45" s="89">
        <v>12.0</v>
      </c>
      <c r="O45" s="89">
        <v>12.0</v>
      </c>
      <c r="P45" s="89">
        <v>12.0</v>
      </c>
      <c r="Q45" s="89"/>
      <c r="R45" s="88">
        <v>12.0</v>
      </c>
      <c r="S45" s="89">
        <v>12.0</v>
      </c>
      <c r="T45" s="89">
        <v>12.0</v>
      </c>
      <c r="U45" s="89"/>
      <c r="V45" s="89">
        <v>12.0</v>
      </c>
      <c r="W45" s="89">
        <v>12.0</v>
      </c>
      <c r="X45" s="89"/>
      <c r="Y45" s="49"/>
      <c r="Z45" s="49"/>
      <c r="AA45" s="49"/>
      <c r="AB45" s="49">
        <v>12.0</v>
      </c>
      <c r="AC45" s="89">
        <v>12.0</v>
      </c>
      <c r="AD45" s="89">
        <v>12.0</v>
      </c>
      <c r="AE45" s="89">
        <v>12.0</v>
      </c>
      <c r="AF45" s="89"/>
      <c r="AG45" s="89">
        <v>12.0</v>
      </c>
      <c r="AH45" s="40"/>
      <c r="AI45" s="39">
        <f t="shared" si="3"/>
        <v>192</v>
      </c>
      <c r="AJ45" s="41"/>
      <c r="AK45" s="41"/>
      <c r="AL45" s="42"/>
      <c r="AM45" s="43">
        <f t="array" ref="AM45:AP45">AI45:AL45/4</f>
        <v>48</v>
      </c>
      <c r="AN45" s="44"/>
      <c r="AO45" s="44"/>
      <c r="AP45" s="45"/>
      <c r="AQ45" s="46"/>
    </row>
    <row r="46" ht="15.75" customHeight="1">
      <c r="A46" s="47"/>
      <c r="B46" s="48"/>
      <c r="C46" s="52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5"/>
      <c r="AH46" s="40"/>
      <c r="AI46" s="39">
        <f t="shared" si="3"/>
        <v>0</v>
      </c>
      <c r="AJ46" s="41"/>
      <c r="AK46" s="41"/>
      <c r="AL46" s="42"/>
      <c r="AM46" s="43">
        <f t="array" ref="AM46:AP46">AI46:AL46/4</f>
        <v>0</v>
      </c>
      <c r="AN46" s="44"/>
      <c r="AO46" s="44"/>
      <c r="AP46" s="45"/>
      <c r="AQ46" s="46"/>
    </row>
    <row r="47" ht="15.75" customHeight="1">
      <c r="A47" s="47"/>
      <c r="B47" s="48"/>
      <c r="C47" s="52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5"/>
      <c r="AH47" s="40"/>
      <c r="AI47" s="39">
        <f t="shared" si="3"/>
        <v>0</v>
      </c>
      <c r="AJ47" s="41"/>
      <c r="AK47" s="41"/>
      <c r="AL47" s="42"/>
      <c r="AM47" s="43">
        <f t="array" ref="AM47:AP47">AI47:AL47/4</f>
        <v>0</v>
      </c>
      <c r="AN47" s="44"/>
      <c r="AO47" s="44"/>
      <c r="AP47" s="45"/>
      <c r="AQ47" s="46"/>
    </row>
    <row r="48" ht="15.75" customHeight="1">
      <c r="A48" s="47"/>
      <c r="B48" s="48"/>
      <c r="C48" s="52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5"/>
      <c r="AH48" s="40"/>
      <c r="AI48" s="39">
        <f t="shared" si="3"/>
        <v>0</v>
      </c>
      <c r="AJ48" s="41"/>
      <c r="AK48" s="41"/>
      <c r="AL48" s="42"/>
      <c r="AM48" s="43">
        <f t="array" ref="AM48:AP48">AI48:AL48/4</f>
        <v>0</v>
      </c>
      <c r="AN48" s="44"/>
      <c r="AO48" s="44"/>
      <c r="AP48" s="45"/>
      <c r="AQ48" s="46"/>
    </row>
    <row r="49" ht="15.75" customHeight="1">
      <c r="A49" s="30"/>
      <c r="B49" s="48"/>
      <c r="C49" s="52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5"/>
      <c r="AH49" s="40"/>
      <c r="AI49" s="55">
        <f t="shared" si="3"/>
        <v>0</v>
      </c>
      <c r="AJ49" s="56"/>
      <c r="AK49" s="56"/>
      <c r="AL49" s="57"/>
      <c r="AM49" s="52">
        <f t="array" ref="AM49:AP49">AI49:AL49/4</f>
        <v>0</v>
      </c>
      <c r="AN49" s="56"/>
      <c r="AO49" s="56"/>
      <c r="AP49" s="57"/>
      <c r="AQ49" s="46"/>
    </row>
    <row r="50" ht="15.75" customHeight="1">
      <c r="A50" s="58" t="s">
        <v>8</v>
      </c>
      <c r="B50" s="59" t="s">
        <v>9</v>
      </c>
      <c r="C50" s="36"/>
      <c r="D50" s="61"/>
      <c r="E50" s="61">
        <v>24.0</v>
      </c>
      <c r="F50" s="61">
        <v>24.0</v>
      </c>
      <c r="G50" s="61">
        <v>24.0</v>
      </c>
      <c r="H50" s="61">
        <v>24.0</v>
      </c>
      <c r="I50" s="61">
        <v>24.0</v>
      </c>
      <c r="J50" s="61">
        <v>24.0</v>
      </c>
      <c r="K50" s="61">
        <v>24.0</v>
      </c>
      <c r="L50" s="61">
        <v>24.0</v>
      </c>
      <c r="M50" s="61">
        <v>12.0</v>
      </c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>
        <v>24.0</v>
      </c>
      <c r="Y50" s="61">
        <v>24.0</v>
      </c>
      <c r="Z50" s="61">
        <v>24.0</v>
      </c>
      <c r="AA50" s="61">
        <v>24.0</v>
      </c>
      <c r="AB50" s="61">
        <v>12.0</v>
      </c>
      <c r="AC50" s="61"/>
      <c r="AD50" s="61"/>
      <c r="AE50" s="61"/>
      <c r="AF50" s="61"/>
      <c r="AG50" s="64"/>
      <c r="AH50" s="40"/>
      <c r="AI50" s="64">
        <f t="shared" si="3"/>
        <v>312</v>
      </c>
      <c r="AJ50" s="65"/>
      <c r="AK50" s="65"/>
      <c r="AL50" s="66"/>
      <c r="AM50" s="36">
        <f t="array" ref="AM50:AP50">AI50:AL50/4</f>
        <v>78</v>
      </c>
      <c r="AN50" s="65"/>
      <c r="AO50" s="65"/>
      <c r="AP50" s="66"/>
      <c r="AQ50" s="46"/>
    </row>
    <row r="51" ht="15.75" customHeight="1">
      <c r="A51" s="67"/>
      <c r="B51" s="68" t="s">
        <v>18</v>
      </c>
      <c r="C51" s="52"/>
      <c r="D51" s="53"/>
      <c r="E51" s="53">
        <v>24.0</v>
      </c>
      <c r="F51" s="53">
        <v>24.0</v>
      </c>
      <c r="G51" s="53">
        <v>24.0</v>
      </c>
      <c r="H51" s="53">
        <v>24.0</v>
      </c>
      <c r="I51" s="53">
        <v>24.0</v>
      </c>
      <c r="J51" s="53">
        <v>24.0</v>
      </c>
      <c r="K51" s="53">
        <v>24.0</v>
      </c>
      <c r="L51" s="53">
        <v>24.0</v>
      </c>
      <c r="M51" s="53">
        <v>12.0</v>
      </c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>
        <v>24.0</v>
      </c>
      <c r="Y51" s="53">
        <v>24.0</v>
      </c>
      <c r="Z51" s="53">
        <v>24.0</v>
      </c>
      <c r="AA51" s="53">
        <v>24.0</v>
      </c>
      <c r="AB51" s="53">
        <v>12.0</v>
      </c>
      <c r="AC51" s="53"/>
      <c r="AD51" s="53"/>
      <c r="AE51" s="53"/>
      <c r="AF51" s="53"/>
      <c r="AG51" s="55"/>
      <c r="AH51" s="40"/>
      <c r="AI51" s="39">
        <f t="shared" si="3"/>
        <v>312</v>
      </c>
      <c r="AJ51" s="41"/>
      <c r="AK51" s="41"/>
      <c r="AL51" s="42"/>
      <c r="AM51" s="43">
        <f t="array" ref="AM51:AP51">AI51:AL51/4</f>
        <v>78</v>
      </c>
      <c r="AN51" s="44"/>
      <c r="AO51" s="44"/>
      <c r="AP51" s="45"/>
      <c r="AQ51" s="46"/>
    </row>
    <row r="52" ht="15.75" customHeight="1">
      <c r="A52" s="32"/>
      <c r="B52" s="68"/>
      <c r="C52" s="52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5"/>
      <c r="AH52" s="40"/>
      <c r="AI52" s="55">
        <f t="shared" si="3"/>
        <v>0</v>
      </c>
      <c r="AJ52" s="56"/>
      <c r="AK52" s="56"/>
      <c r="AL52" s="57"/>
      <c r="AM52" s="40">
        <f t="array" ref="AM52:AP52">AI52:AL52/4</f>
        <v>0</v>
      </c>
      <c r="AP52" s="74"/>
      <c r="AQ52" s="46"/>
    </row>
    <row r="53" ht="14.25" customHeight="1">
      <c r="A53" s="75" t="s">
        <v>11</v>
      </c>
      <c r="B53" s="76" t="s">
        <v>12</v>
      </c>
      <c r="C53" s="36">
        <v>12.0</v>
      </c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>
        <v>12.0</v>
      </c>
      <c r="R53" s="61">
        <v>9.0</v>
      </c>
      <c r="S53" s="61"/>
      <c r="T53" s="61"/>
      <c r="U53" s="61">
        <v>12.0</v>
      </c>
      <c r="V53" s="61"/>
      <c r="W53" s="61">
        <v>9.0</v>
      </c>
      <c r="X53" s="61"/>
      <c r="Y53" s="61"/>
      <c r="Z53" s="61"/>
      <c r="AA53" s="61"/>
      <c r="AB53" s="61"/>
      <c r="AC53" s="61"/>
      <c r="AD53" s="61"/>
      <c r="AE53" s="61">
        <v>12.0</v>
      </c>
      <c r="AF53" s="61">
        <v>9.0</v>
      </c>
      <c r="AG53" s="64"/>
      <c r="AH53" s="40"/>
      <c r="AI53" s="64">
        <f t="shared" si="3"/>
        <v>75</v>
      </c>
      <c r="AJ53" s="65"/>
      <c r="AK53" s="65"/>
      <c r="AL53" s="66"/>
      <c r="AM53" s="36">
        <f t="array" ref="AM53:AP53">AI53:AL53/4</f>
        <v>18.75</v>
      </c>
      <c r="AN53" s="65"/>
      <c r="AO53" s="65"/>
      <c r="AP53" s="66"/>
      <c r="AQ53" s="46"/>
    </row>
    <row r="54" ht="15.75" customHeight="1">
      <c r="A54" s="47"/>
      <c r="B54" s="78" t="s">
        <v>13</v>
      </c>
      <c r="C54" s="43">
        <v>9.0</v>
      </c>
      <c r="D54" s="49">
        <v>9.0</v>
      </c>
      <c r="E54" s="49"/>
      <c r="F54" s="49"/>
      <c r="G54" s="49"/>
      <c r="H54" s="49"/>
      <c r="I54" s="49"/>
      <c r="J54" s="49"/>
      <c r="K54" s="49"/>
      <c r="L54" s="49"/>
      <c r="M54" s="49"/>
      <c r="N54" s="49">
        <v>9.0</v>
      </c>
      <c r="O54" s="49">
        <v>9.0</v>
      </c>
      <c r="P54" s="49">
        <v>9.0</v>
      </c>
      <c r="Q54" s="49">
        <v>9.0</v>
      </c>
      <c r="R54" s="49"/>
      <c r="S54" s="49">
        <v>9.0</v>
      </c>
      <c r="T54" s="49">
        <v>9.0</v>
      </c>
      <c r="U54" s="49">
        <v>9.0</v>
      </c>
      <c r="V54" s="49">
        <v>9.0</v>
      </c>
      <c r="W54" s="49"/>
      <c r="X54" s="49"/>
      <c r="Y54" s="49"/>
      <c r="Z54" s="49"/>
      <c r="AA54" s="49"/>
      <c r="AB54" s="49"/>
      <c r="AC54" s="49">
        <v>9.0</v>
      </c>
      <c r="AD54" s="49">
        <v>9.0</v>
      </c>
      <c r="AE54" s="49">
        <v>9.0</v>
      </c>
      <c r="AF54" s="49"/>
      <c r="AG54" s="50">
        <v>9.0</v>
      </c>
      <c r="AH54" s="40"/>
      <c r="AI54" s="39">
        <f t="shared" si="3"/>
        <v>126</v>
      </c>
      <c r="AJ54" s="41"/>
      <c r="AK54" s="41"/>
      <c r="AL54" s="42"/>
      <c r="AM54" s="43">
        <f t="array" ref="AM54:AP54">AI54:AL54/4</f>
        <v>31.5</v>
      </c>
      <c r="AN54" s="44"/>
      <c r="AO54" s="44"/>
      <c r="AP54" s="45"/>
      <c r="AQ54" s="46"/>
    </row>
    <row r="55" ht="15.75" customHeight="1">
      <c r="A55" s="47"/>
      <c r="B55" s="78" t="s">
        <v>14</v>
      </c>
      <c r="C55" s="43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50"/>
      <c r="AH55" s="40"/>
      <c r="AI55" s="39">
        <f t="shared" si="3"/>
        <v>0</v>
      </c>
      <c r="AJ55" s="41"/>
      <c r="AK55" s="41"/>
      <c r="AL55" s="42"/>
      <c r="AM55" s="43">
        <f t="array" ref="AM55:AP55">AI55:AL55/4</f>
        <v>0</v>
      </c>
      <c r="AN55" s="44"/>
      <c r="AO55" s="44"/>
      <c r="AP55" s="45"/>
      <c r="AQ55" s="46"/>
    </row>
    <row r="56" ht="14.25" customHeight="1">
      <c r="A56" s="47"/>
      <c r="B56" s="78"/>
      <c r="C56" s="43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94"/>
      <c r="AG56" s="50"/>
      <c r="AH56" s="40"/>
      <c r="AI56" s="39">
        <f t="shared" si="3"/>
        <v>0</v>
      </c>
      <c r="AJ56" s="41"/>
      <c r="AK56" s="41"/>
      <c r="AL56" s="42"/>
      <c r="AM56" s="43">
        <f t="array" ref="AM56:AP56">AI56:AL56/4</f>
        <v>0</v>
      </c>
      <c r="AN56" s="44"/>
      <c r="AO56" s="44"/>
      <c r="AP56" s="45"/>
      <c r="AQ56" s="46"/>
    </row>
    <row r="57" ht="15.75" customHeight="1">
      <c r="A57" s="47"/>
      <c r="B57" s="78"/>
      <c r="C57" s="43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94"/>
      <c r="AG57" s="50"/>
      <c r="AH57" s="40"/>
      <c r="AI57" s="39">
        <f t="shared" si="3"/>
        <v>0</v>
      </c>
      <c r="AJ57" s="41"/>
      <c r="AK57" s="41"/>
      <c r="AL57" s="42"/>
      <c r="AM57" s="43">
        <f t="array" ref="AM57:AP57">AI57:AL57/4</f>
        <v>0</v>
      </c>
      <c r="AN57" s="44"/>
      <c r="AO57" s="44"/>
      <c r="AP57" s="45"/>
      <c r="AQ57" s="46"/>
    </row>
    <row r="58" ht="15.75" customHeight="1">
      <c r="A58" s="30"/>
      <c r="B58" s="79" t="s">
        <v>15</v>
      </c>
      <c r="C58" s="69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>
        <v>12.0</v>
      </c>
      <c r="Q58" s="80">
        <v>12.0</v>
      </c>
      <c r="R58" s="80"/>
      <c r="S58" s="80"/>
      <c r="T58" s="80">
        <v>12.0</v>
      </c>
      <c r="U58" s="80">
        <v>12.0</v>
      </c>
      <c r="V58" s="80"/>
      <c r="W58" s="80"/>
      <c r="X58" s="80"/>
      <c r="Y58" s="80"/>
      <c r="Z58" s="80"/>
      <c r="AA58" s="80"/>
      <c r="AB58" s="80"/>
      <c r="AC58" s="80"/>
      <c r="AD58" s="80"/>
      <c r="AE58" s="80">
        <v>12.0</v>
      </c>
      <c r="AF58" s="80">
        <v>12.0</v>
      </c>
      <c r="AG58" s="55"/>
      <c r="AH58" s="40"/>
      <c r="AI58" s="55">
        <f t="shared" si="3"/>
        <v>72</v>
      </c>
      <c r="AJ58" s="56"/>
      <c r="AK58" s="56"/>
      <c r="AL58" s="57"/>
      <c r="AM58" s="43">
        <f t="array" ref="AM58:AP58">AI58:AL58/4</f>
        <v>18</v>
      </c>
      <c r="AN58" s="44"/>
      <c r="AO58" s="44"/>
      <c r="AP58" s="45"/>
      <c r="AQ58" s="46"/>
    </row>
    <row r="59" ht="15.75" customHeight="1">
      <c r="A59" s="4" t="s">
        <v>20</v>
      </c>
      <c r="B59" s="5"/>
      <c r="C59" s="6">
        <v>1.0</v>
      </c>
      <c r="D59" s="13">
        <v>2.0</v>
      </c>
      <c r="E59" s="14">
        <v>3.0</v>
      </c>
      <c r="F59" s="9">
        <v>4.0</v>
      </c>
      <c r="G59" s="9">
        <v>5.0</v>
      </c>
      <c r="H59" s="10">
        <v>6.0</v>
      </c>
      <c r="I59" s="11">
        <v>7.0</v>
      </c>
      <c r="J59" s="12">
        <v>8.0</v>
      </c>
      <c r="K59" s="13">
        <v>9.0</v>
      </c>
      <c r="L59" s="14">
        <v>10.0</v>
      </c>
      <c r="M59" s="9">
        <v>11.0</v>
      </c>
      <c r="N59" s="9">
        <v>12.0</v>
      </c>
      <c r="O59" s="10">
        <v>13.0</v>
      </c>
      <c r="P59" s="11">
        <v>14.0</v>
      </c>
      <c r="Q59" s="12">
        <v>15.0</v>
      </c>
      <c r="R59" s="11">
        <v>16.0</v>
      </c>
      <c r="S59" s="9">
        <v>17.0</v>
      </c>
      <c r="T59" s="9">
        <v>18.0</v>
      </c>
      <c r="U59" s="9">
        <v>19.0</v>
      </c>
      <c r="V59" s="15">
        <v>20.0</v>
      </c>
      <c r="W59" s="16">
        <v>21.0</v>
      </c>
      <c r="X59" s="17">
        <v>22.0</v>
      </c>
      <c r="Y59" s="7">
        <v>23.0</v>
      </c>
      <c r="Z59" s="8">
        <v>24.0</v>
      </c>
      <c r="AA59" s="8">
        <v>25.0</v>
      </c>
      <c r="AB59" s="8">
        <v>26.0</v>
      </c>
      <c r="AC59" s="15">
        <v>27.0</v>
      </c>
      <c r="AD59" s="16">
        <v>28.0</v>
      </c>
      <c r="AE59" s="10">
        <v>29.0</v>
      </c>
      <c r="AF59" s="16">
        <v>30.0</v>
      </c>
      <c r="AG59" s="95" t="s">
        <v>17</v>
      </c>
      <c r="AH59" s="21"/>
      <c r="AI59" s="22" t="s">
        <v>1</v>
      </c>
      <c r="AJ59" s="5"/>
      <c r="AK59" s="5"/>
      <c r="AL59" s="5"/>
      <c r="AM59" s="22" t="s">
        <v>2</v>
      </c>
      <c r="AN59" s="5"/>
      <c r="AO59" s="5"/>
      <c r="AP59" s="23"/>
      <c r="AQ59" s="46"/>
    </row>
    <row r="60" ht="15.75" customHeight="1">
      <c r="A60" s="25"/>
      <c r="B60" s="2"/>
      <c r="C60" s="26"/>
      <c r="D60" s="27"/>
      <c r="E60" s="28"/>
      <c r="F60" s="28"/>
      <c r="G60" s="28"/>
      <c r="H60" s="29"/>
      <c r="I60" s="30"/>
      <c r="J60" s="31"/>
      <c r="K60" s="27"/>
      <c r="L60" s="28"/>
      <c r="M60" s="28"/>
      <c r="N60" s="28"/>
      <c r="O60" s="29"/>
      <c r="P60" s="30"/>
      <c r="Q60" s="31"/>
      <c r="R60" s="30"/>
      <c r="S60" s="28"/>
      <c r="T60" s="28"/>
      <c r="U60" s="28"/>
      <c r="V60" s="29"/>
      <c r="W60" s="30"/>
      <c r="X60" s="31"/>
      <c r="Y60" s="27"/>
      <c r="Z60" s="28"/>
      <c r="AA60" s="28"/>
      <c r="AB60" s="28"/>
      <c r="AC60" s="29"/>
      <c r="AD60" s="30"/>
      <c r="AE60" s="29"/>
      <c r="AF60" s="30"/>
      <c r="AH60" s="21"/>
      <c r="AI60" s="25"/>
      <c r="AJ60" s="2"/>
      <c r="AK60" s="2"/>
      <c r="AL60" s="2"/>
      <c r="AM60" s="25"/>
      <c r="AN60" s="2"/>
      <c r="AO60" s="2"/>
      <c r="AP60" s="33"/>
      <c r="AQ60" s="46"/>
    </row>
    <row r="61" ht="15.75" customHeight="1">
      <c r="A61" s="34" t="s">
        <v>3</v>
      </c>
      <c r="B61" s="35" t="s">
        <v>4</v>
      </c>
      <c r="C61" s="36">
        <v>12.0</v>
      </c>
      <c r="D61" s="37"/>
      <c r="E61" s="37"/>
      <c r="F61" s="37"/>
      <c r="G61" s="37"/>
      <c r="H61" s="37"/>
      <c r="I61" s="49">
        <v>12.0</v>
      </c>
      <c r="J61" s="49">
        <v>12.0</v>
      </c>
      <c r="K61" s="49">
        <v>12.0</v>
      </c>
      <c r="L61" s="49"/>
      <c r="M61" s="49">
        <v>12.0</v>
      </c>
      <c r="N61" s="49">
        <v>12.0</v>
      </c>
      <c r="O61" s="49" t="s">
        <v>21</v>
      </c>
      <c r="P61" s="49" t="s">
        <v>21</v>
      </c>
      <c r="Q61" s="49" t="s">
        <v>21</v>
      </c>
      <c r="R61" s="49" t="s">
        <v>21</v>
      </c>
      <c r="S61" s="49" t="s">
        <v>21</v>
      </c>
      <c r="T61" s="49" t="s">
        <v>21</v>
      </c>
      <c r="U61" s="49" t="s">
        <v>21</v>
      </c>
      <c r="V61" s="49" t="s">
        <v>21</v>
      </c>
      <c r="W61" s="49" t="s">
        <v>21</v>
      </c>
      <c r="X61" s="37">
        <v>12.0</v>
      </c>
      <c r="Y61" s="49"/>
      <c r="Z61" s="49"/>
      <c r="AA61" s="49"/>
      <c r="AB61" s="49"/>
      <c r="AC61" s="49"/>
      <c r="AD61" s="37">
        <v>12.0</v>
      </c>
      <c r="AE61" s="37">
        <v>12.0</v>
      </c>
      <c r="AF61" s="37">
        <v>12.0</v>
      </c>
      <c r="AH61" s="40"/>
      <c r="AI61" s="39">
        <f t="shared" ref="AI61:AI77" si="4">SUM(C61:AG61)</f>
        <v>120</v>
      </c>
      <c r="AJ61" s="41"/>
      <c r="AK61" s="41"/>
      <c r="AL61" s="42"/>
      <c r="AM61" s="43">
        <f t="array" ref="AM61:AP61">AI61:AL61/4</f>
        <v>30</v>
      </c>
      <c r="AN61" s="44"/>
      <c r="AO61" s="44"/>
      <c r="AP61" s="45"/>
      <c r="AQ61" s="46"/>
    </row>
    <row r="62" ht="15.75" customHeight="1">
      <c r="A62" s="47"/>
      <c r="B62" s="48" t="s">
        <v>5</v>
      </c>
      <c r="C62" s="43"/>
      <c r="D62" s="49"/>
      <c r="E62" s="49"/>
      <c r="F62" s="49"/>
      <c r="G62" s="49"/>
      <c r="H62" s="49"/>
      <c r="I62" s="49"/>
      <c r="J62" s="49"/>
      <c r="K62" s="49"/>
      <c r="L62" s="88"/>
      <c r="M62" s="89"/>
      <c r="N62" s="89"/>
      <c r="O62" s="89"/>
      <c r="P62" s="89"/>
      <c r="Q62" s="88"/>
      <c r="R62" s="89"/>
      <c r="S62" s="89"/>
      <c r="T62" s="89"/>
      <c r="U62" s="96"/>
      <c r="V62" s="89"/>
      <c r="W62" s="89"/>
      <c r="X62" s="49"/>
      <c r="Y62" s="49"/>
      <c r="Z62" s="49"/>
      <c r="AA62" s="49"/>
      <c r="AB62" s="49"/>
      <c r="AC62" s="49"/>
      <c r="AD62" s="49"/>
      <c r="AE62" s="49"/>
      <c r="AF62" s="49"/>
      <c r="AH62" s="40"/>
      <c r="AI62" s="39">
        <f t="shared" si="4"/>
        <v>0</v>
      </c>
      <c r="AJ62" s="41"/>
      <c r="AK62" s="41"/>
      <c r="AL62" s="42"/>
      <c r="AM62" s="43">
        <f t="array" ref="AM62:AP62">AI62:AL62/4</f>
        <v>0</v>
      </c>
      <c r="AN62" s="44"/>
      <c r="AO62" s="44"/>
      <c r="AP62" s="45"/>
      <c r="AQ62" s="46"/>
    </row>
    <row r="63" ht="15.75" customHeight="1">
      <c r="A63" s="47"/>
      <c r="B63" s="48" t="s">
        <v>6</v>
      </c>
      <c r="C63" s="43">
        <v>12.0</v>
      </c>
      <c r="D63" s="49"/>
      <c r="E63" s="49"/>
      <c r="F63" s="49"/>
      <c r="G63" s="49"/>
      <c r="H63" s="49">
        <v>12.0</v>
      </c>
      <c r="I63" s="49">
        <v>12.0</v>
      </c>
      <c r="J63" s="49">
        <v>12.0</v>
      </c>
      <c r="K63" s="86"/>
      <c r="L63" s="87">
        <v>12.0</v>
      </c>
      <c r="M63" s="87">
        <v>12.0</v>
      </c>
      <c r="N63" s="87">
        <v>12.0</v>
      </c>
      <c r="O63" s="87"/>
      <c r="P63" s="86"/>
      <c r="Q63" s="87"/>
      <c r="R63" s="87"/>
      <c r="S63" s="87">
        <v>12.0</v>
      </c>
      <c r="T63" s="87">
        <v>12.0</v>
      </c>
      <c r="U63" s="87">
        <v>12.0</v>
      </c>
      <c r="V63" s="87"/>
      <c r="W63" s="49">
        <v>12.0</v>
      </c>
      <c r="X63" s="49">
        <v>12.0</v>
      </c>
      <c r="Y63" s="49"/>
      <c r="Z63" s="49"/>
      <c r="AA63" s="87"/>
      <c r="AB63" s="87"/>
      <c r="AC63" s="87">
        <v>12.0</v>
      </c>
      <c r="AD63" s="87">
        <v>12.0</v>
      </c>
      <c r="AE63" s="49"/>
      <c r="AF63" s="49">
        <v>12.0</v>
      </c>
      <c r="AH63" s="40"/>
      <c r="AI63" s="39">
        <f t="shared" si="4"/>
        <v>180</v>
      </c>
      <c r="AJ63" s="41"/>
      <c r="AK63" s="41"/>
      <c r="AL63" s="42"/>
      <c r="AM63" s="43">
        <f t="array" ref="AM63:AP63">AI63:AL63/4</f>
        <v>45</v>
      </c>
      <c r="AN63" s="44"/>
      <c r="AO63" s="44"/>
      <c r="AP63" s="45"/>
      <c r="AQ63" s="46"/>
    </row>
    <row r="64" ht="15.75" customHeight="1">
      <c r="A64" s="47"/>
      <c r="B64" s="48" t="s">
        <v>7</v>
      </c>
      <c r="C64" s="43">
        <v>12.0</v>
      </c>
      <c r="D64" s="49"/>
      <c r="E64" s="49"/>
      <c r="F64" s="49"/>
      <c r="G64" s="49"/>
      <c r="H64" s="49">
        <v>12.0</v>
      </c>
      <c r="I64" s="49">
        <v>12.0</v>
      </c>
      <c r="J64" s="49">
        <v>12.0</v>
      </c>
      <c r="K64" s="88">
        <v>12.0</v>
      </c>
      <c r="L64" s="89"/>
      <c r="M64" s="89">
        <v>12.0</v>
      </c>
      <c r="N64" s="89">
        <v>12.0</v>
      </c>
      <c r="O64" s="89"/>
      <c r="P64" s="88"/>
      <c r="Q64" s="89"/>
      <c r="R64" s="89"/>
      <c r="S64" s="89">
        <v>12.0</v>
      </c>
      <c r="T64" s="89">
        <v>12.0</v>
      </c>
      <c r="U64" s="89"/>
      <c r="V64" s="89">
        <v>12.0</v>
      </c>
      <c r="W64" s="49">
        <v>12.0</v>
      </c>
      <c r="X64" s="49">
        <v>12.0</v>
      </c>
      <c r="Y64" s="53"/>
      <c r="Z64" s="53"/>
      <c r="AA64" s="89"/>
      <c r="AB64" s="89"/>
      <c r="AC64" s="89">
        <v>12.0</v>
      </c>
      <c r="AD64" s="89">
        <v>12.0</v>
      </c>
      <c r="AE64" s="49">
        <v>12.0</v>
      </c>
      <c r="AF64" s="49"/>
      <c r="AH64" s="40"/>
      <c r="AI64" s="39">
        <f t="shared" si="4"/>
        <v>180</v>
      </c>
      <c r="AJ64" s="41"/>
      <c r="AK64" s="41"/>
      <c r="AL64" s="42"/>
      <c r="AM64" s="43">
        <f t="array" ref="AM64:AP64">AI64:AL64/4</f>
        <v>45</v>
      </c>
      <c r="AN64" s="44"/>
      <c r="AO64" s="44"/>
      <c r="AP64" s="45"/>
      <c r="AQ64" s="46"/>
    </row>
    <row r="65" ht="15.75" customHeight="1">
      <c r="A65" s="47"/>
      <c r="B65" s="48"/>
      <c r="C65" s="52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4"/>
      <c r="AD65" s="53"/>
      <c r="AE65" s="53"/>
      <c r="AF65" s="53"/>
      <c r="AH65" s="40"/>
      <c r="AI65" s="39">
        <f t="shared" si="4"/>
        <v>0</v>
      </c>
      <c r="AJ65" s="41"/>
      <c r="AK65" s="41"/>
      <c r="AL65" s="42"/>
      <c r="AM65" s="43">
        <f t="array" ref="AM65:AP65">AI65:AL65/4</f>
        <v>0</v>
      </c>
      <c r="AN65" s="44"/>
      <c r="AO65" s="44"/>
      <c r="AP65" s="45"/>
      <c r="AQ65" s="46"/>
    </row>
    <row r="66" ht="15.75" customHeight="1">
      <c r="A66" s="47"/>
      <c r="B66" s="48"/>
      <c r="C66" s="52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H66" s="40"/>
      <c r="AI66" s="39">
        <f t="shared" si="4"/>
        <v>0</v>
      </c>
      <c r="AJ66" s="41"/>
      <c r="AK66" s="41"/>
      <c r="AL66" s="42"/>
      <c r="AM66" s="43">
        <f t="array" ref="AM66:AP66">AI66:AL66/4</f>
        <v>0</v>
      </c>
      <c r="AN66" s="44"/>
      <c r="AO66" s="44"/>
      <c r="AP66" s="45"/>
      <c r="AQ66" s="46"/>
    </row>
    <row r="67" ht="15.75" customHeight="1">
      <c r="A67" s="47"/>
      <c r="B67" s="48"/>
      <c r="C67" s="52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H67" s="40"/>
      <c r="AI67" s="39">
        <f t="shared" si="4"/>
        <v>0</v>
      </c>
      <c r="AJ67" s="41"/>
      <c r="AK67" s="41"/>
      <c r="AL67" s="42"/>
      <c r="AM67" s="43">
        <f t="array" ref="AM67:AP67">AI67:AL67/4</f>
        <v>0</v>
      </c>
      <c r="AN67" s="44"/>
      <c r="AO67" s="44"/>
      <c r="AP67" s="45"/>
      <c r="AQ67" s="46"/>
    </row>
    <row r="68" ht="15.75" customHeight="1">
      <c r="A68" s="30"/>
      <c r="B68" s="48"/>
      <c r="C68" s="52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H68" s="40"/>
      <c r="AI68" s="55">
        <f t="shared" si="4"/>
        <v>0</v>
      </c>
      <c r="AJ68" s="56"/>
      <c r="AK68" s="56"/>
      <c r="AL68" s="57"/>
      <c r="AM68" s="52">
        <f t="array" ref="AM68:AP68">AI68:AL68/4</f>
        <v>0</v>
      </c>
      <c r="AN68" s="56"/>
      <c r="AO68" s="56"/>
      <c r="AP68" s="57"/>
      <c r="AQ68" s="46"/>
    </row>
    <row r="69" ht="15.75" customHeight="1">
      <c r="A69" s="58" t="s">
        <v>8</v>
      </c>
      <c r="B69" s="59" t="s">
        <v>9</v>
      </c>
      <c r="C69" s="36"/>
      <c r="D69" s="61">
        <v>24.0</v>
      </c>
      <c r="E69" s="61">
        <v>24.0</v>
      </c>
      <c r="F69" s="61">
        <v>24.0</v>
      </c>
      <c r="G69" s="61">
        <v>24.0</v>
      </c>
      <c r="H69" s="61">
        <v>12.0</v>
      </c>
      <c r="I69" s="61"/>
      <c r="J69" s="61"/>
      <c r="K69" s="61"/>
      <c r="L69" s="61"/>
      <c r="M69" s="61"/>
      <c r="N69" s="61"/>
      <c r="O69" s="61">
        <v>24.0</v>
      </c>
      <c r="P69" s="61">
        <v>24.0</v>
      </c>
      <c r="Q69" s="61">
        <v>24.0</v>
      </c>
      <c r="R69" s="61">
        <v>24.0</v>
      </c>
      <c r="S69" s="61">
        <v>12.0</v>
      </c>
      <c r="T69" s="61"/>
      <c r="U69" s="61"/>
      <c r="V69" s="61"/>
      <c r="W69" s="61"/>
      <c r="X69" s="61"/>
      <c r="Y69" s="61">
        <v>24.0</v>
      </c>
      <c r="Z69" s="61">
        <v>24.0</v>
      </c>
      <c r="AA69" s="61">
        <v>24.0</v>
      </c>
      <c r="AB69" s="61">
        <v>24.0</v>
      </c>
      <c r="AC69" s="61">
        <v>12.0</v>
      </c>
      <c r="AD69" s="61"/>
      <c r="AE69" s="61"/>
      <c r="AF69" s="61"/>
      <c r="AH69" s="40"/>
      <c r="AI69" s="64">
        <f t="shared" si="4"/>
        <v>324</v>
      </c>
      <c r="AJ69" s="65"/>
      <c r="AK69" s="65"/>
      <c r="AL69" s="66"/>
      <c r="AM69" s="36">
        <f t="array" ref="AM69:AP69">AI69:AL69/4</f>
        <v>81</v>
      </c>
      <c r="AN69" s="65"/>
      <c r="AO69" s="65"/>
      <c r="AP69" s="66"/>
      <c r="AQ69" s="46"/>
    </row>
    <row r="70" ht="15.75" customHeight="1">
      <c r="A70" s="67"/>
      <c r="B70" s="68" t="s">
        <v>18</v>
      </c>
      <c r="C70" s="52"/>
      <c r="D70" s="53">
        <v>24.0</v>
      </c>
      <c r="E70" s="53">
        <v>24.0</v>
      </c>
      <c r="F70" s="53">
        <v>24.0</v>
      </c>
      <c r="G70" s="53">
        <v>24.0</v>
      </c>
      <c r="H70" s="53">
        <v>12.0</v>
      </c>
      <c r="I70" s="53"/>
      <c r="J70" s="53"/>
      <c r="K70" s="53"/>
      <c r="L70" s="53"/>
      <c r="M70" s="53"/>
      <c r="N70" s="53"/>
      <c r="O70" s="53">
        <v>24.0</v>
      </c>
      <c r="P70" s="53">
        <v>24.0</v>
      </c>
      <c r="Q70" s="53">
        <v>24.0</v>
      </c>
      <c r="R70" s="53">
        <v>24.0</v>
      </c>
      <c r="S70" s="53">
        <v>12.0</v>
      </c>
      <c r="T70" s="53"/>
      <c r="U70" s="53"/>
      <c r="V70" s="53"/>
      <c r="W70" s="53"/>
      <c r="X70" s="53"/>
      <c r="Y70" s="53">
        <v>24.0</v>
      </c>
      <c r="Z70" s="53">
        <v>24.0</v>
      </c>
      <c r="AA70" s="53">
        <v>24.0</v>
      </c>
      <c r="AB70" s="53">
        <v>24.0</v>
      </c>
      <c r="AC70" s="53">
        <v>12.0</v>
      </c>
      <c r="AD70" s="53"/>
      <c r="AE70" s="53"/>
      <c r="AF70" s="53"/>
      <c r="AH70" s="40"/>
      <c r="AI70" s="39">
        <f t="shared" si="4"/>
        <v>324</v>
      </c>
      <c r="AJ70" s="41"/>
      <c r="AK70" s="41"/>
      <c r="AL70" s="42"/>
      <c r="AM70" s="43">
        <f t="array" ref="AM70:AP70">AI70:AL70/4</f>
        <v>81</v>
      </c>
      <c r="AN70" s="44"/>
      <c r="AO70" s="44"/>
      <c r="AP70" s="45"/>
      <c r="AQ70" s="46"/>
    </row>
    <row r="71" ht="15.75" customHeight="1">
      <c r="A71" s="32"/>
      <c r="B71" s="68"/>
      <c r="C71" s="52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H71" s="40"/>
      <c r="AI71" s="55">
        <f t="shared" si="4"/>
        <v>0</v>
      </c>
      <c r="AJ71" s="56"/>
      <c r="AK71" s="56"/>
      <c r="AL71" s="57"/>
      <c r="AM71" s="40">
        <f t="array" ref="AM71:AP71">AI71:AL71/4</f>
        <v>0</v>
      </c>
      <c r="AP71" s="74"/>
      <c r="AQ71" s="46"/>
    </row>
    <row r="72" ht="14.25" customHeight="1">
      <c r="A72" s="75" t="s">
        <v>11</v>
      </c>
      <c r="B72" s="76" t="s">
        <v>12</v>
      </c>
      <c r="C72" s="36"/>
      <c r="D72" s="61"/>
      <c r="E72" s="61"/>
      <c r="F72" s="61"/>
      <c r="G72" s="61"/>
      <c r="H72" s="61"/>
      <c r="I72" s="61" t="s">
        <v>21</v>
      </c>
      <c r="J72" s="61" t="s">
        <v>21</v>
      </c>
      <c r="K72" s="61" t="s">
        <v>21</v>
      </c>
      <c r="L72" s="61" t="s">
        <v>21</v>
      </c>
      <c r="M72" s="61" t="s">
        <v>21</v>
      </c>
      <c r="N72" s="61" t="s">
        <v>21</v>
      </c>
      <c r="O72" s="61" t="s">
        <v>21</v>
      </c>
      <c r="P72" s="61" t="s">
        <v>21</v>
      </c>
      <c r="Q72" s="61" t="s">
        <v>21</v>
      </c>
      <c r="R72" s="61" t="s">
        <v>21</v>
      </c>
      <c r="S72" s="61" t="s">
        <v>21</v>
      </c>
      <c r="T72" s="61" t="s">
        <v>21</v>
      </c>
      <c r="U72" s="61"/>
      <c r="V72" s="61">
        <v>12.0</v>
      </c>
      <c r="W72" s="61">
        <v>12.0</v>
      </c>
      <c r="X72" s="61"/>
      <c r="Y72" s="61"/>
      <c r="Z72" s="61"/>
      <c r="AA72" s="61"/>
      <c r="AB72" s="61"/>
      <c r="AC72" s="61"/>
      <c r="AD72" s="61"/>
      <c r="AE72" s="61"/>
      <c r="AF72" s="61"/>
      <c r="AH72" s="40"/>
      <c r="AI72" s="64">
        <f t="shared" si="4"/>
        <v>24</v>
      </c>
      <c r="AJ72" s="65"/>
      <c r="AK72" s="65"/>
      <c r="AL72" s="66"/>
      <c r="AM72" s="36">
        <f t="array" ref="AM72:AP72">AI72:AL72/4</f>
        <v>6</v>
      </c>
      <c r="AN72" s="65"/>
      <c r="AO72" s="65"/>
      <c r="AP72" s="66"/>
      <c r="AQ72" s="46"/>
    </row>
    <row r="73" ht="15.75" customHeight="1">
      <c r="A73" s="47"/>
      <c r="B73" s="78" t="s">
        <v>13</v>
      </c>
      <c r="C73" s="43">
        <v>9.0</v>
      </c>
      <c r="D73" s="49"/>
      <c r="E73" s="49"/>
      <c r="F73" s="49"/>
      <c r="G73" s="49"/>
      <c r="H73" s="49"/>
      <c r="I73" s="49">
        <v>9.0</v>
      </c>
      <c r="J73" s="49">
        <v>9.0</v>
      </c>
      <c r="K73" s="49">
        <v>9.0</v>
      </c>
      <c r="L73" s="49">
        <v>9.0</v>
      </c>
      <c r="M73" s="49">
        <v>9.0</v>
      </c>
      <c r="N73" s="49">
        <v>9.0</v>
      </c>
      <c r="O73" s="49"/>
      <c r="P73" s="49"/>
      <c r="Q73" s="49"/>
      <c r="R73" s="49"/>
      <c r="S73" s="49"/>
      <c r="T73" s="49">
        <v>9.0</v>
      </c>
      <c r="U73" s="49">
        <v>9.0</v>
      </c>
      <c r="V73" s="49">
        <v>9.0</v>
      </c>
      <c r="W73" s="49">
        <v>9.0</v>
      </c>
      <c r="X73" s="49">
        <v>9.0</v>
      </c>
      <c r="Y73" s="49"/>
      <c r="Z73" s="49"/>
      <c r="AA73" s="49"/>
      <c r="AB73" s="49"/>
      <c r="AC73" s="49"/>
      <c r="AD73" s="49">
        <v>9.0</v>
      </c>
      <c r="AE73" s="49">
        <v>9.0</v>
      </c>
      <c r="AF73" s="49">
        <v>9.0</v>
      </c>
      <c r="AH73" s="40"/>
      <c r="AI73" s="39">
        <f t="shared" si="4"/>
        <v>135</v>
      </c>
      <c r="AJ73" s="41"/>
      <c r="AK73" s="41"/>
      <c r="AL73" s="42"/>
      <c r="AM73" s="43">
        <f t="array" ref="AM73:AP73">AI73:AL73/4</f>
        <v>33.75</v>
      </c>
      <c r="AN73" s="44"/>
      <c r="AO73" s="44"/>
      <c r="AP73" s="45"/>
      <c r="AQ73" s="46"/>
    </row>
    <row r="74" ht="15.75" customHeight="1">
      <c r="A74" s="47"/>
      <c r="B74" s="78" t="s">
        <v>14</v>
      </c>
      <c r="C74" s="43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H74" s="40"/>
      <c r="AI74" s="39">
        <f t="shared" si="4"/>
        <v>0</v>
      </c>
      <c r="AJ74" s="41"/>
      <c r="AK74" s="41"/>
      <c r="AL74" s="42"/>
      <c r="AM74" s="43">
        <f t="array" ref="AM74:AP74">AI74:AL74/4</f>
        <v>0</v>
      </c>
      <c r="AN74" s="44"/>
      <c r="AO74" s="44"/>
      <c r="AP74" s="45"/>
      <c r="AQ74" s="46"/>
    </row>
    <row r="75" ht="15.75" customHeight="1">
      <c r="A75" s="47"/>
      <c r="B75" s="78"/>
      <c r="C75" s="43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94"/>
      <c r="AH75" s="40"/>
      <c r="AI75" s="39">
        <f t="shared" si="4"/>
        <v>0</v>
      </c>
      <c r="AJ75" s="41"/>
      <c r="AK75" s="41"/>
      <c r="AL75" s="42"/>
      <c r="AM75" s="43">
        <f t="array" ref="AM75:AP75">AI75:AL75/4</f>
        <v>0</v>
      </c>
      <c r="AN75" s="44"/>
      <c r="AO75" s="44"/>
      <c r="AP75" s="45"/>
      <c r="AQ75" s="46"/>
    </row>
    <row r="76" ht="15.75" customHeight="1">
      <c r="A76" s="47"/>
      <c r="B76" s="78"/>
      <c r="C76" s="43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94"/>
      <c r="AH76" s="40"/>
      <c r="AI76" s="39">
        <f t="shared" si="4"/>
        <v>0</v>
      </c>
      <c r="AJ76" s="41"/>
      <c r="AK76" s="41"/>
      <c r="AL76" s="42"/>
      <c r="AM76" s="43">
        <f t="array" ref="AM76:AP76">AI76:AL76/4</f>
        <v>0</v>
      </c>
      <c r="AN76" s="44"/>
      <c r="AO76" s="44"/>
      <c r="AP76" s="45"/>
      <c r="AQ76" s="46"/>
    </row>
    <row r="77" ht="15.75" customHeight="1">
      <c r="A77" s="30"/>
      <c r="B77" s="79" t="s">
        <v>15</v>
      </c>
      <c r="C77" s="69"/>
      <c r="D77" s="80"/>
      <c r="E77" s="80"/>
      <c r="F77" s="80"/>
      <c r="G77" s="80"/>
      <c r="H77" s="80"/>
      <c r="I77" s="80"/>
      <c r="J77" s="80"/>
      <c r="K77" s="80">
        <v>12.0</v>
      </c>
      <c r="L77" s="80">
        <v>24.0</v>
      </c>
      <c r="M77" s="80"/>
      <c r="N77" s="80"/>
      <c r="O77" s="80"/>
      <c r="P77" s="80"/>
      <c r="Q77" s="80"/>
      <c r="R77" s="80"/>
      <c r="S77" s="80"/>
      <c r="T77" s="80">
        <v>12.0</v>
      </c>
      <c r="U77" s="80">
        <v>24.0</v>
      </c>
      <c r="V77" s="80">
        <v>12.0</v>
      </c>
      <c r="W77" s="80"/>
      <c r="X77" s="80"/>
      <c r="Y77" s="80"/>
      <c r="Z77" s="80"/>
      <c r="AA77" s="80"/>
      <c r="AB77" s="80"/>
      <c r="AC77" s="80"/>
      <c r="AD77" s="80"/>
      <c r="AE77" s="80">
        <v>12.0</v>
      </c>
      <c r="AF77" s="80">
        <v>12.0</v>
      </c>
      <c r="AG77" s="41"/>
      <c r="AH77" s="40"/>
      <c r="AI77" s="55">
        <f t="shared" si="4"/>
        <v>108</v>
      </c>
      <c r="AJ77" s="56"/>
      <c r="AK77" s="56"/>
      <c r="AL77" s="57"/>
      <c r="AM77" s="43">
        <f t="array" ref="AM77:AP77">AI77:AL77/4</f>
        <v>27</v>
      </c>
      <c r="AN77" s="44"/>
      <c r="AO77" s="44"/>
      <c r="AP77" s="45"/>
      <c r="AQ77" s="46"/>
    </row>
    <row r="78" ht="15.75" customHeight="1">
      <c r="A78" s="4" t="s">
        <v>22</v>
      </c>
      <c r="B78" s="5"/>
      <c r="C78" s="6">
        <v>1.0</v>
      </c>
      <c r="D78" s="13">
        <v>2.0</v>
      </c>
      <c r="E78" s="14">
        <v>3.0</v>
      </c>
      <c r="F78" s="9">
        <v>4.0</v>
      </c>
      <c r="G78" s="9">
        <v>5.0</v>
      </c>
      <c r="H78" s="10">
        <v>6.0</v>
      </c>
      <c r="I78" s="11">
        <v>7.0</v>
      </c>
      <c r="J78" s="12">
        <v>8.0</v>
      </c>
      <c r="K78" s="13">
        <v>9.0</v>
      </c>
      <c r="L78" s="14">
        <v>10.0</v>
      </c>
      <c r="M78" s="9">
        <v>11.0</v>
      </c>
      <c r="N78" s="9">
        <v>12.0</v>
      </c>
      <c r="O78" s="10">
        <v>13.0</v>
      </c>
      <c r="P78" s="11">
        <v>14.0</v>
      </c>
      <c r="Q78" s="12">
        <v>15.0</v>
      </c>
      <c r="R78" s="11">
        <v>16.0</v>
      </c>
      <c r="S78" s="9">
        <v>17.0</v>
      </c>
      <c r="T78" s="9">
        <v>18.0</v>
      </c>
      <c r="U78" s="9">
        <v>19.0</v>
      </c>
      <c r="V78" s="15">
        <v>20.0</v>
      </c>
      <c r="W78" s="16">
        <v>21.0</v>
      </c>
      <c r="X78" s="17">
        <v>22.0</v>
      </c>
      <c r="Y78" s="7">
        <v>23.0</v>
      </c>
      <c r="Z78" s="8">
        <v>24.0</v>
      </c>
      <c r="AA78" s="8">
        <v>25.0</v>
      </c>
      <c r="AB78" s="8">
        <v>26.0</v>
      </c>
      <c r="AC78" s="15">
        <v>27.0</v>
      </c>
      <c r="AD78" s="16">
        <v>28.0</v>
      </c>
      <c r="AE78" s="10">
        <v>29.0</v>
      </c>
      <c r="AF78" s="16">
        <v>30.0</v>
      </c>
      <c r="AG78" s="97">
        <v>31.0</v>
      </c>
      <c r="AH78" s="21"/>
      <c r="AI78" s="22" t="s">
        <v>1</v>
      </c>
      <c r="AJ78" s="5"/>
      <c r="AK78" s="5"/>
      <c r="AL78" s="5"/>
      <c r="AM78" s="22" t="s">
        <v>2</v>
      </c>
      <c r="AN78" s="5"/>
      <c r="AO78" s="5"/>
      <c r="AP78" s="23"/>
      <c r="AQ78" s="24"/>
    </row>
    <row r="79" ht="15.75" customHeight="1">
      <c r="A79" s="25"/>
      <c r="B79" s="2"/>
      <c r="C79" s="26"/>
      <c r="D79" s="27"/>
      <c r="E79" s="28"/>
      <c r="F79" s="28"/>
      <c r="G79" s="28"/>
      <c r="H79" s="29"/>
      <c r="I79" s="30"/>
      <c r="J79" s="31"/>
      <c r="K79" s="27"/>
      <c r="L79" s="28"/>
      <c r="M79" s="28"/>
      <c r="N79" s="28"/>
      <c r="O79" s="29"/>
      <c r="P79" s="30"/>
      <c r="Q79" s="31"/>
      <c r="R79" s="30"/>
      <c r="S79" s="28"/>
      <c r="T79" s="28"/>
      <c r="U79" s="28"/>
      <c r="V79" s="29"/>
      <c r="W79" s="30"/>
      <c r="X79" s="31"/>
      <c r="Y79" s="27"/>
      <c r="Z79" s="28"/>
      <c r="AA79" s="28"/>
      <c r="AB79" s="28"/>
      <c r="AC79" s="29"/>
      <c r="AD79" s="30"/>
      <c r="AE79" s="29"/>
      <c r="AF79" s="30"/>
      <c r="AG79" s="98"/>
      <c r="AH79" s="21"/>
      <c r="AI79" s="25"/>
      <c r="AJ79" s="2"/>
      <c r="AK79" s="2"/>
      <c r="AL79" s="2"/>
      <c r="AM79" s="25"/>
      <c r="AN79" s="2"/>
      <c r="AO79" s="2"/>
      <c r="AP79" s="33"/>
      <c r="AQ79" s="24"/>
    </row>
    <row r="80" ht="15.75" customHeight="1">
      <c r="A80" s="34" t="s">
        <v>3</v>
      </c>
      <c r="B80" s="35" t="s">
        <v>4</v>
      </c>
      <c r="C80" s="36"/>
      <c r="D80" s="37">
        <v>12.0</v>
      </c>
      <c r="E80" s="37">
        <v>12.0</v>
      </c>
      <c r="F80" s="37">
        <v>12.0</v>
      </c>
      <c r="G80" s="37">
        <v>9.0</v>
      </c>
      <c r="H80" s="37"/>
      <c r="I80" s="49"/>
      <c r="J80" s="49"/>
      <c r="K80" s="49"/>
      <c r="L80" s="49">
        <v>12.0</v>
      </c>
      <c r="M80" s="49">
        <v>12.0</v>
      </c>
      <c r="N80" s="99">
        <v>9.0</v>
      </c>
      <c r="O80" s="99">
        <v>12.0</v>
      </c>
      <c r="P80" s="49">
        <v>12.0</v>
      </c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37">
        <v>12.0</v>
      </c>
      <c r="AE80" s="37">
        <v>12.0</v>
      </c>
      <c r="AF80" s="37">
        <v>12.0</v>
      </c>
      <c r="AG80" s="39">
        <v>12.0</v>
      </c>
      <c r="AH80" s="40"/>
      <c r="AI80" s="39">
        <f t="shared" ref="AI80:AI96" si="5">SUM(C80:AG80)</f>
        <v>150</v>
      </c>
      <c r="AJ80" s="41"/>
      <c r="AK80" s="41"/>
      <c r="AL80" s="42"/>
      <c r="AM80" s="43">
        <f t="array" ref="AM80:AP80">AI80:AL80/4</f>
        <v>37.5</v>
      </c>
      <c r="AN80" s="44"/>
      <c r="AO80" s="44"/>
      <c r="AP80" s="45"/>
      <c r="AQ80" s="46"/>
    </row>
    <row r="81" ht="15.75" customHeight="1">
      <c r="A81" s="47"/>
      <c r="B81" s="48" t="s">
        <v>5</v>
      </c>
      <c r="C81" s="43"/>
      <c r="D81" s="49"/>
      <c r="E81" s="49"/>
      <c r="F81" s="49"/>
      <c r="G81" s="49"/>
      <c r="H81" s="49"/>
      <c r="I81" s="49"/>
      <c r="J81" s="49"/>
      <c r="K81" s="49"/>
      <c r="L81" s="88"/>
      <c r="M81" s="89"/>
      <c r="N81" s="89"/>
      <c r="O81" s="89"/>
      <c r="P81" s="89"/>
      <c r="Q81" s="88"/>
      <c r="R81" s="89"/>
      <c r="S81" s="89"/>
      <c r="T81" s="89"/>
      <c r="U81" s="96"/>
      <c r="V81" s="89"/>
      <c r="W81" s="89"/>
      <c r="X81" s="49"/>
      <c r="Y81" s="49"/>
      <c r="Z81" s="49"/>
      <c r="AA81" s="49"/>
      <c r="AB81" s="49"/>
      <c r="AC81" s="49"/>
      <c r="AD81" s="49"/>
      <c r="AE81" s="49"/>
      <c r="AF81" s="49"/>
      <c r="AG81" s="50"/>
      <c r="AH81" s="40"/>
      <c r="AI81" s="39">
        <f t="shared" si="5"/>
        <v>0</v>
      </c>
      <c r="AJ81" s="41"/>
      <c r="AK81" s="41"/>
      <c r="AL81" s="42"/>
      <c r="AM81" s="43">
        <f t="array" ref="AM81:AP81">AI81:AL81/4</f>
        <v>0</v>
      </c>
      <c r="AN81" s="44"/>
      <c r="AO81" s="44"/>
      <c r="AP81" s="45"/>
      <c r="AQ81" s="46"/>
    </row>
    <row r="82" ht="15.75" customHeight="1">
      <c r="A82" s="47"/>
      <c r="B82" s="48" t="s">
        <v>6</v>
      </c>
      <c r="C82" s="86">
        <v>12.0</v>
      </c>
      <c r="D82" s="87">
        <v>12.0</v>
      </c>
      <c r="E82" s="87"/>
      <c r="F82" s="87">
        <v>12.0</v>
      </c>
      <c r="G82" s="89">
        <v>12.0</v>
      </c>
      <c r="H82" s="89"/>
      <c r="I82" s="88"/>
      <c r="J82" s="49"/>
      <c r="K82" s="86">
        <v>12.0</v>
      </c>
      <c r="L82" s="87">
        <v>12.0</v>
      </c>
      <c r="M82" s="87">
        <v>12.0</v>
      </c>
      <c r="N82" s="87"/>
      <c r="O82" s="89">
        <v>12.0</v>
      </c>
      <c r="P82" s="89">
        <v>12.0</v>
      </c>
      <c r="Q82" s="88">
        <v>12.0</v>
      </c>
      <c r="R82" s="89">
        <v>6.0</v>
      </c>
      <c r="S82" s="89"/>
      <c r="T82" s="89"/>
      <c r="U82" s="96"/>
      <c r="V82" s="89"/>
      <c r="W82" s="89"/>
      <c r="X82" s="49"/>
      <c r="Y82" s="49"/>
      <c r="Z82" s="49"/>
      <c r="AA82" s="49"/>
      <c r="AB82" s="49"/>
      <c r="AC82" s="49">
        <v>12.0</v>
      </c>
      <c r="AD82" s="49">
        <v>12.0</v>
      </c>
      <c r="AE82" s="49">
        <v>12.0</v>
      </c>
      <c r="AF82" s="94"/>
      <c r="AG82" s="50">
        <v>12.0</v>
      </c>
      <c r="AH82" s="40"/>
      <c r="AI82" s="39">
        <f t="shared" si="5"/>
        <v>174</v>
      </c>
      <c r="AJ82" s="41"/>
      <c r="AK82" s="41"/>
      <c r="AL82" s="42"/>
      <c r="AM82" s="43">
        <f t="array" ref="AM82:AP82">AI82:AL82/4</f>
        <v>43.5</v>
      </c>
      <c r="AN82" s="44"/>
      <c r="AO82" s="44"/>
      <c r="AP82" s="45"/>
      <c r="AQ82" s="46"/>
    </row>
    <row r="83" ht="15.75" customHeight="1">
      <c r="A83" s="47"/>
      <c r="B83" s="48" t="s">
        <v>7</v>
      </c>
      <c r="C83" s="88">
        <v>12.0</v>
      </c>
      <c r="D83" s="89">
        <v>12.0</v>
      </c>
      <c r="E83" s="89">
        <v>12.0</v>
      </c>
      <c r="F83" s="89"/>
      <c r="G83" s="87">
        <v>12.0</v>
      </c>
      <c r="H83" s="87"/>
      <c r="I83" s="86"/>
      <c r="J83" s="49"/>
      <c r="K83" s="88">
        <v>12.0</v>
      </c>
      <c r="L83" s="89">
        <v>12.0</v>
      </c>
      <c r="M83" s="89">
        <v>12.0</v>
      </c>
      <c r="N83" s="89">
        <v>12.0</v>
      </c>
      <c r="O83" s="87"/>
      <c r="P83" s="87">
        <v>12.0</v>
      </c>
      <c r="Q83" s="86">
        <v>12.0</v>
      </c>
      <c r="R83" s="87">
        <v>6.0</v>
      </c>
      <c r="S83" s="87"/>
      <c r="T83" s="87"/>
      <c r="U83" s="87"/>
      <c r="V83" s="87"/>
      <c r="W83" s="87"/>
      <c r="X83" s="49"/>
      <c r="Y83" s="49"/>
      <c r="Z83" s="49"/>
      <c r="AA83" s="49"/>
      <c r="AB83" s="49"/>
      <c r="AC83" s="49">
        <v>12.0</v>
      </c>
      <c r="AD83" s="99">
        <v>12.0</v>
      </c>
      <c r="AE83" s="99">
        <v>12.0</v>
      </c>
      <c r="AF83" s="99">
        <v>12.0</v>
      </c>
      <c r="AG83" s="50"/>
      <c r="AH83" s="40"/>
      <c r="AI83" s="39">
        <f t="shared" si="5"/>
        <v>174</v>
      </c>
      <c r="AJ83" s="41"/>
      <c r="AK83" s="41"/>
      <c r="AL83" s="42"/>
      <c r="AM83" s="43">
        <f t="array" ref="AM83:AP83">AI83:AL83/4</f>
        <v>43.5</v>
      </c>
      <c r="AN83" s="44"/>
      <c r="AO83" s="44"/>
      <c r="AP83" s="45"/>
      <c r="AQ83" s="46"/>
    </row>
    <row r="84" ht="15.75" customHeight="1">
      <c r="A84" s="47"/>
      <c r="B84" s="48"/>
      <c r="C84" s="52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4"/>
      <c r="AD84" s="53"/>
      <c r="AE84" s="53"/>
      <c r="AF84" s="53"/>
      <c r="AG84" s="55"/>
      <c r="AH84" s="40"/>
      <c r="AI84" s="39">
        <f t="shared" si="5"/>
        <v>0</v>
      </c>
      <c r="AJ84" s="41"/>
      <c r="AK84" s="41"/>
      <c r="AL84" s="42"/>
      <c r="AM84" s="43">
        <f t="array" ref="AM84:AP84">AI84:AL84/4</f>
        <v>0</v>
      </c>
      <c r="AN84" s="44"/>
      <c r="AO84" s="44"/>
      <c r="AP84" s="45"/>
      <c r="AQ84" s="46"/>
    </row>
    <row r="85" ht="15.75" customHeight="1">
      <c r="A85" s="47"/>
      <c r="B85" s="48"/>
      <c r="C85" s="52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5"/>
      <c r="AH85" s="40"/>
      <c r="AI85" s="39">
        <f t="shared" si="5"/>
        <v>0</v>
      </c>
      <c r="AJ85" s="41"/>
      <c r="AK85" s="41"/>
      <c r="AL85" s="42"/>
      <c r="AM85" s="43">
        <f t="array" ref="AM85:AP85">AI85:AL85/4</f>
        <v>0</v>
      </c>
      <c r="AN85" s="44"/>
      <c r="AO85" s="44"/>
      <c r="AP85" s="45"/>
      <c r="AQ85" s="46"/>
    </row>
    <row r="86" ht="15.75" customHeight="1">
      <c r="A86" s="47"/>
      <c r="B86" s="48"/>
      <c r="C86" s="52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5"/>
      <c r="AH86" s="40"/>
      <c r="AI86" s="39">
        <f t="shared" si="5"/>
        <v>0</v>
      </c>
      <c r="AJ86" s="41"/>
      <c r="AK86" s="41"/>
      <c r="AL86" s="42"/>
      <c r="AM86" s="43">
        <f t="array" ref="AM86:AP86">AI86:AL86/4</f>
        <v>0</v>
      </c>
      <c r="AN86" s="44"/>
      <c r="AO86" s="44"/>
      <c r="AP86" s="45"/>
      <c r="AQ86" s="46"/>
    </row>
    <row r="87" ht="15.75" customHeight="1">
      <c r="A87" s="30"/>
      <c r="B87" s="48"/>
      <c r="C87" s="52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5"/>
      <c r="AH87" s="40"/>
      <c r="AI87" s="55">
        <f t="shared" si="5"/>
        <v>0</v>
      </c>
      <c r="AJ87" s="56"/>
      <c r="AK87" s="56"/>
      <c r="AL87" s="57"/>
      <c r="AM87" s="52">
        <f t="array" ref="AM87:AP87">AI87:AL87/4</f>
        <v>0</v>
      </c>
      <c r="AN87" s="56"/>
      <c r="AO87" s="56"/>
      <c r="AP87" s="57"/>
      <c r="AQ87" s="46"/>
    </row>
    <row r="88" ht="15.75" customHeight="1">
      <c r="A88" s="58" t="s">
        <v>8</v>
      </c>
      <c r="B88" s="59" t="s">
        <v>9</v>
      </c>
      <c r="C88" s="36"/>
      <c r="D88" s="61"/>
      <c r="E88" s="61"/>
      <c r="F88" s="61"/>
      <c r="G88" s="61"/>
      <c r="H88" s="61">
        <v>24.0</v>
      </c>
      <c r="I88" s="61">
        <v>24.0</v>
      </c>
      <c r="J88" s="61">
        <v>24.0</v>
      </c>
      <c r="K88" s="61">
        <v>12.0</v>
      </c>
      <c r="L88" s="61"/>
      <c r="M88" s="61"/>
      <c r="N88" s="61"/>
      <c r="O88" s="61"/>
      <c r="P88" s="61"/>
      <c r="Q88" s="61"/>
      <c r="R88" s="61"/>
      <c r="S88" s="100">
        <v>33.0</v>
      </c>
      <c r="T88" s="61">
        <v>24.0</v>
      </c>
      <c r="U88" s="61">
        <v>24.0</v>
      </c>
      <c r="V88" s="61">
        <v>24.0</v>
      </c>
      <c r="W88" s="61">
        <v>24.0</v>
      </c>
      <c r="X88" s="61">
        <v>24.0</v>
      </c>
      <c r="Y88" s="61">
        <v>24.0</v>
      </c>
      <c r="Z88" s="61">
        <v>24.0</v>
      </c>
      <c r="AA88" s="61">
        <v>24.0</v>
      </c>
      <c r="AB88" s="61">
        <v>24.0</v>
      </c>
      <c r="AC88" s="61">
        <v>12.0</v>
      </c>
      <c r="AD88" s="61"/>
      <c r="AE88" s="61"/>
      <c r="AF88" s="61"/>
      <c r="AG88" s="64"/>
      <c r="AH88" s="40"/>
      <c r="AI88" s="64">
        <f t="shared" si="5"/>
        <v>345</v>
      </c>
      <c r="AJ88" s="65"/>
      <c r="AK88" s="65"/>
      <c r="AL88" s="66"/>
      <c r="AM88" s="36">
        <f t="array" ref="AM88:AP88">AI88:AL88/4</f>
        <v>86.25</v>
      </c>
      <c r="AN88" s="65"/>
      <c r="AO88" s="65"/>
      <c r="AP88" s="66"/>
      <c r="AQ88" s="46"/>
    </row>
    <row r="89" ht="15.75" customHeight="1">
      <c r="A89" s="67"/>
      <c r="B89" s="68" t="s">
        <v>18</v>
      </c>
      <c r="C89" s="52"/>
      <c r="D89" s="53"/>
      <c r="E89" s="53"/>
      <c r="F89" s="53"/>
      <c r="G89" s="53"/>
      <c r="H89" s="53">
        <v>24.0</v>
      </c>
      <c r="I89" s="53">
        <v>24.0</v>
      </c>
      <c r="J89" s="53">
        <v>24.0</v>
      </c>
      <c r="K89" s="53">
        <v>12.0</v>
      </c>
      <c r="L89" s="53"/>
      <c r="M89" s="53"/>
      <c r="N89" s="53"/>
      <c r="O89" s="53"/>
      <c r="P89" s="53"/>
      <c r="Q89" s="53"/>
      <c r="R89" s="53"/>
      <c r="S89" s="101">
        <v>33.0</v>
      </c>
      <c r="T89" s="53">
        <v>24.0</v>
      </c>
      <c r="U89" s="53">
        <v>24.0</v>
      </c>
      <c r="V89" s="53">
        <v>24.0</v>
      </c>
      <c r="W89" s="53">
        <v>24.0</v>
      </c>
      <c r="X89" s="53">
        <v>24.0</v>
      </c>
      <c r="Y89" s="53">
        <v>24.0</v>
      </c>
      <c r="Z89" s="53">
        <v>24.0</v>
      </c>
      <c r="AA89" s="53">
        <v>24.0</v>
      </c>
      <c r="AB89" s="53">
        <v>24.0</v>
      </c>
      <c r="AC89" s="53">
        <v>12.0</v>
      </c>
      <c r="AD89" s="53"/>
      <c r="AE89" s="53"/>
      <c r="AF89" s="53"/>
      <c r="AG89" s="55"/>
      <c r="AH89" s="40"/>
      <c r="AI89" s="39">
        <f t="shared" si="5"/>
        <v>345</v>
      </c>
      <c r="AJ89" s="41"/>
      <c r="AK89" s="41"/>
      <c r="AL89" s="42"/>
      <c r="AM89" s="43">
        <f t="array" ref="AM89:AP89">AI89:AL89/4</f>
        <v>86.25</v>
      </c>
      <c r="AN89" s="44"/>
      <c r="AO89" s="44"/>
      <c r="AP89" s="45"/>
      <c r="AQ89" s="46"/>
    </row>
    <row r="90" ht="15.75" customHeight="1">
      <c r="A90" s="32"/>
      <c r="B90" s="68"/>
      <c r="C90" s="52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5"/>
      <c r="AH90" s="40"/>
      <c r="AI90" s="55">
        <f t="shared" si="5"/>
        <v>0</v>
      </c>
      <c r="AJ90" s="56"/>
      <c r="AK90" s="56"/>
      <c r="AL90" s="57"/>
      <c r="AM90" s="40">
        <f t="array" ref="AM90:AP90">AI90:AL90/4</f>
        <v>0</v>
      </c>
      <c r="AP90" s="74"/>
      <c r="AQ90" s="46"/>
    </row>
    <row r="91" ht="15.75" customHeight="1">
      <c r="A91" s="75" t="s">
        <v>11</v>
      </c>
      <c r="B91" s="76" t="s">
        <v>12</v>
      </c>
      <c r="C91" s="102">
        <v>12.0</v>
      </c>
      <c r="D91" s="61"/>
      <c r="E91" s="61"/>
      <c r="F91" s="61"/>
      <c r="G91" s="61">
        <v>12.0</v>
      </c>
      <c r="H91" s="61"/>
      <c r="I91" s="61"/>
      <c r="J91" s="61"/>
      <c r="K91" s="61"/>
      <c r="L91" s="100">
        <v>9.0</v>
      </c>
      <c r="M91" s="61"/>
      <c r="N91" s="100">
        <v>12.0</v>
      </c>
      <c r="O91" s="100">
        <v>9.0</v>
      </c>
      <c r="P91" s="61"/>
      <c r="Q91" s="61">
        <v>12.0</v>
      </c>
      <c r="R91" s="61">
        <v>9.0</v>
      </c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  <c r="AE91" s="61"/>
      <c r="AF91" s="61"/>
      <c r="AG91" s="64"/>
      <c r="AH91" s="40"/>
      <c r="AI91" s="64">
        <f t="shared" si="5"/>
        <v>75</v>
      </c>
      <c r="AJ91" s="65"/>
      <c r="AK91" s="65"/>
      <c r="AL91" s="66"/>
      <c r="AM91" s="36">
        <f t="array" ref="AM91:AP91">AI91:AL91/4</f>
        <v>18.75</v>
      </c>
      <c r="AN91" s="65"/>
      <c r="AO91" s="65"/>
      <c r="AP91" s="66"/>
      <c r="AQ91" s="46"/>
    </row>
    <row r="92" ht="15.75" customHeight="1">
      <c r="A92" s="47"/>
      <c r="B92" s="78" t="s">
        <v>13</v>
      </c>
      <c r="C92" s="43">
        <v>9.0</v>
      </c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>
        <v>9.0</v>
      </c>
      <c r="AE92" s="49">
        <v>9.0</v>
      </c>
      <c r="AF92" s="49">
        <v>9.0</v>
      </c>
      <c r="AG92" s="50">
        <v>9.0</v>
      </c>
      <c r="AH92" s="40"/>
      <c r="AI92" s="39">
        <f t="shared" si="5"/>
        <v>45</v>
      </c>
      <c r="AJ92" s="41"/>
      <c r="AK92" s="41"/>
      <c r="AL92" s="42"/>
      <c r="AM92" s="43">
        <f t="array" ref="AM92:AP92">AI92:AL92/4</f>
        <v>11.25</v>
      </c>
      <c r="AN92" s="44"/>
      <c r="AO92" s="44"/>
      <c r="AP92" s="45"/>
      <c r="AQ92" s="46"/>
    </row>
    <row r="93" ht="15.75" customHeight="1">
      <c r="A93" s="47"/>
      <c r="B93" s="78" t="s">
        <v>14</v>
      </c>
      <c r="C93" s="43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50"/>
      <c r="AH93" s="40"/>
      <c r="AI93" s="39">
        <f t="shared" si="5"/>
        <v>0</v>
      </c>
      <c r="AJ93" s="41"/>
      <c r="AK93" s="41"/>
      <c r="AL93" s="42"/>
      <c r="AM93" s="43">
        <f t="array" ref="AM93:AP93">AI93:AL93/4</f>
        <v>0</v>
      </c>
      <c r="AN93" s="44"/>
      <c r="AO93" s="44"/>
      <c r="AP93" s="45"/>
      <c r="AQ93" s="46"/>
    </row>
    <row r="94" ht="14.25" customHeight="1">
      <c r="A94" s="47"/>
      <c r="B94" s="78"/>
      <c r="C94" s="43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94"/>
      <c r="AG94" s="50"/>
      <c r="AH94" s="40"/>
      <c r="AI94" s="39">
        <f t="shared" si="5"/>
        <v>0</v>
      </c>
      <c r="AJ94" s="41"/>
      <c r="AK94" s="41"/>
      <c r="AL94" s="42"/>
      <c r="AM94" s="43">
        <f t="array" ref="AM94:AP94">AI94:AL94/4</f>
        <v>0</v>
      </c>
      <c r="AN94" s="44"/>
      <c r="AO94" s="44"/>
      <c r="AP94" s="45"/>
      <c r="AQ94" s="46"/>
    </row>
    <row r="95" ht="15.75" customHeight="1">
      <c r="A95" s="47"/>
      <c r="B95" s="78"/>
      <c r="C95" s="43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94"/>
      <c r="AG95" s="50"/>
      <c r="AH95" s="40"/>
      <c r="AI95" s="39">
        <f t="shared" si="5"/>
        <v>0</v>
      </c>
      <c r="AJ95" s="41"/>
      <c r="AK95" s="41"/>
      <c r="AL95" s="42"/>
      <c r="AM95" s="43">
        <f t="array" ref="AM95:AP95">AI95:AL95/4</f>
        <v>0</v>
      </c>
      <c r="AN95" s="44"/>
      <c r="AO95" s="44"/>
      <c r="AP95" s="45"/>
      <c r="AQ95" s="46"/>
    </row>
    <row r="96" ht="15.75" customHeight="1">
      <c r="A96" s="30"/>
      <c r="B96" s="79" t="s">
        <v>15</v>
      </c>
      <c r="C96" s="69"/>
      <c r="D96" s="80">
        <v>9.0</v>
      </c>
      <c r="E96" s="103">
        <v>21.0</v>
      </c>
      <c r="F96" s="103">
        <v>21.0</v>
      </c>
      <c r="G96" s="80"/>
      <c r="H96" s="80"/>
      <c r="I96" s="80"/>
      <c r="J96" s="80"/>
      <c r="K96" s="80"/>
      <c r="L96" s="103">
        <v>9.0</v>
      </c>
      <c r="M96" s="80">
        <v>9.0</v>
      </c>
      <c r="N96" s="103">
        <v>12.0</v>
      </c>
      <c r="O96" s="103">
        <v>12.0</v>
      </c>
      <c r="P96" s="80">
        <v>9.0</v>
      </c>
      <c r="Q96" s="80">
        <v>9.0</v>
      </c>
      <c r="R96" s="80">
        <v>9.0</v>
      </c>
      <c r="S96" s="80"/>
      <c r="T96" s="80"/>
      <c r="U96" s="80"/>
      <c r="V96" s="80"/>
      <c r="W96" s="80"/>
      <c r="X96" s="80"/>
      <c r="Y96" s="80"/>
      <c r="Z96" s="80"/>
      <c r="AA96" s="80"/>
      <c r="AB96" s="80"/>
      <c r="AC96" s="80"/>
      <c r="AD96" s="80"/>
      <c r="AE96" s="80"/>
      <c r="AF96" s="103">
        <v>12.0</v>
      </c>
      <c r="AG96" s="104">
        <v>12.0</v>
      </c>
      <c r="AH96" s="40"/>
      <c r="AI96" s="55">
        <f t="shared" si="5"/>
        <v>144</v>
      </c>
      <c r="AJ96" s="56"/>
      <c r="AK96" s="56"/>
      <c r="AL96" s="57"/>
      <c r="AM96" s="43">
        <f t="array" ref="AM96:AP96">AI96:AL96/4</f>
        <v>36</v>
      </c>
      <c r="AN96" s="44"/>
      <c r="AO96" s="44"/>
      <c r="AP96" s="45"/>
      <c r="AQ96" s="46"/>
    </row>
    <row r="97" ht="15.75" customHeight="1">
      <c r="A97" s="4" t="s">
        <v>23</v>
      </c>
      <c r="B97" s="5"/>
      <c r="C97" s="6">
        <v>1.0</v>
      </c>
      <c r="D97" s="13">
        <v>2.0</v>
      </c>
      <c r="E97" s="14">
        <v>3.0</v>
      </c>
      <c r="F97" s="9">
        <v>4.0</v>
      </c>
      <c r="G97" s="9">
        <v>5.0</v>
      </c>
      <c r="H97" s="10">
        <v>6.0</v>
      </c>
      <c r="I97" s="11">
        <v>7.0</v>
      </c>
      <c r="J97" s="12">
        <v>8.0</v>
      </c>
      <c r="K97" s="13">
        <v>9.0</v>
      </c>
      <c r="L97" s="14">
        <v>10.0</v>
      </c>
      <c r="M97" s="9">
        <v>11.0</v>
      </c>
      <c r="N97" s="9">
        <v>12.0</v>
      </c>
      <c r="O97" s="10">
        <v>13.0</v>
      </c>
      <c r="P97" s="11">
        <v>14.0</v>
      </c>
      <c r="Q97" s="12">
        <v>15.0</v>
      </c>
      <c r="R97" s="11">
        <v>16.0</v>
      </c>
      <c r="S97" s="9">
        <v>17.0</v>
      </c>
      <c r="T97" s="9">
        <v>18.0</v>
      </c>
      <c r="U97" s="9">
        <v>19.0</v>
      </c>
      <c r="V97" s="15">
        <v>20.0</v>
      </c>
      <c r="W97" s="16">
        <v>21.0</v>
      </c>
      <c r="X97" s="17">
        <v>22.0</v>
      </c>
      <c r="Y97" s="7">
        <v>23.0</v>
      </c>
      <c r="Z97" s="8">
        <v>24.0</v>
      </c>
      <c r="AA97" s="8">
        <v>25.0</v>
      </c>
      <c r="AB97" s="8">
        <v>26.0</v>
      </c>
      <c r="AC97" s="15">
        <v>27.0</v>
      </c>
      <c r="AD97" s="16">
        <v>28.0</v>
      </c>
      <c r="AE97" s="10">
        <v>29.0</v>
      </c>
      <c r="AF97" s="16">
        <v>30.0</v>
      </c>
      <c r="AG97" s="105"/>
      <c r="AH97" s="40"/>
      <c r="AI97" s="22" t="s">
        <v>1</v>
      </c>
      <c r="AJ97" s="5"/>
      <c r="AK97" s="5"/>
      <c r="AL97" s="5"/>
      <c r="AM97" s="22" t="s">
        <v>2</v>
      </c>
      <c r="AN97" s="5"/>
      <c r="AO97" s="5"/>
      <c r="AP97" s="23"/>
      <c r="AQ97" s="46"/>
    </row>
    <row r="98" ht="15.75" customHeight="1">
      <c r="A98" s="25"/>
      <c r="B98" s="2"/>
      <c r="C98" s="26"/>
      <c r="D98" s="27"/>
      <c r="E98" s="28"/>
      <c r="F98" s="28"/>
      <c r="G98" s="28"/>
      <c r="H98" s="29"/>
      <c r="I98" s="30"/>
      <c r="J98" s="31"/>
      <c r="K98" s="27"/>
      <c r="L98" s="28"/>
      <c r="M98" s="28"/>
      <c r="N98" s="28"/>
      <c r="O98" s="29"/>
      <c r="P98" s="30"/>
      <c r="Q98" s="31"/>
      <c r="R98" s="30"/>
      <c r="S98" s="28"/>
      <c r="T98" s="28"/>
      <c r="U98" s="28"/>
      <c r="V98" s="29"/>
      <c r="W98" s="30"/>
      <c r="X98" s="31"/>
      <c r="Y98" s="27"/>
      <c r="Z98" s="28"/>
      <c r="AA98" s="28"/>
      <c r="AB98" s="28"/>
      <c r="AC98" s="29"/>
      <c r="AD98" s="30"/>
      <c r="AE98" s="29"/>
      <c r="AF98" s="30"/>
      <c r="AH98" s="40"/>
      <c r="AI98" s="25"/>
      <c r="AJ98" s="2"/>
      <c r="AK98" s="2"/>
      <c r="AL98" s="2"/>
      <c r="AM98" s="25"/>
      <c r="AN98" s="2"/>
      <c r="AO98" s="2"/>
      <c r="AP98" s="33"/>
      <c r="AQ98" s="46"/>
    </row>
    <row r="99" ht="15.75" customHeight="1">
      <c r="A99" s="34" t="s">
        <v>3</v>
      </c>
      <c r="B99" s="35" t="s">
        <v>4</v>
      </c>
      <c r="C99" s="36"/>
      <c r="D99" s="106">
        <v>12.0</v>
      </c>
      <c r="E99" s="106"/>
      <c r="F99" s="106">
        <v>12.0</v>
      </c>
      <c r="G99" s="106">
        <v>12.0</v>
      </c>
      <c r="H99" s="106">
        <v>12.0</v>
      </c>
      <c r="I99" s="37"/>
      <c r="J99" s="37"/>
      <c r="K99" s="37"/>
      <c r="L99" s="37"/>
      <c r="M99" s="37"/>
      <c r="N99" s="37"/>
      <c r="O99" s="37"/>
      <c r="P99" s="37"/>
      <c r="Q99" s="37"/>
      <c r="R99" s="106">
        <v>12.0</v>
      </c>
      <c r="S99" s="106">
        <v>12.0</v>
      </c>
      <c r="T99" s="106">
        <v>12.0</v>
      </c>
      <c r="U99" s="106"/>
      <c r="V99" s="106">
        <v>12.0</v>
      </c>
      <c r="W99" s="106">
        <v>9.0</v>
      </c>
      <c r="X99" s="106">
        <v>9.0</v>
      </c>
      <c r="Y99" s="106"/>
      <c r="Z99" s="106">
        <v>7.0</v>
      </c>
      <c r="AA99" s="37"/>
      <c r="AB99" s="37"/>
      <c r="AC99" s="37"/>
      <c r="AD99" s="106">
        <v>12.0</v>
      </c>
      <c r="AE99" s="106">
        <v>9.0</v>
      </c>
      <c r="AF99" s="107">
        <v>12.0</v>
      </c>
      <c r="AH99" s="40"/>
      <c r="AI99" s="39">
        <f t="shared" ref="AI99:AI115" si="6">SUM(C99:AG99)</f>
        <v>154</v>
      </c>
      <c r="AJ99" s="41"/>
      <c r="AK99" s="41"/>
      <c r="AL99" s="42"/>
      <c r="AM99" s="43">
        <f t="array" ref="AM99:AP99">AI99:AL99/4</f>
        <v>38.5</v>
      </c>
      <c r="AN99" s="44"/>
      <c r="AO99" s="44"/>
      <c r="AP99" s="45"/>
      <c r="AQ99" s="46"/>
    </row>
    <row r="100" ht="15.75" customHeight="1">
      <c r="A100" s="47"/>
      <c r="B100" s="48" t="s">
        <v>5</v>
      </c>
      <c r="C100" s="43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  <c r="AH100" s="40"/>
      <c r="AI100" s="39">
        <f t="shared" si="6"/>
        <v>0</v>
      </c>
      <c r="AJ100" s="41"/>
      <c r="AK100" s="41"/>
      <c r="AL100" s="42"/>
      <c r="AM100" s="43">
        <f t="array" ref="AM100:AP100">AI100:AL100/4</f>
        <v>0</v>
      </c>
      <c r="AN100" s="44"/>
      <c r="AO100" s="44"/>
      <c r="AP100" s="45"/>
      <c r="AQ100" s="46"/>
    </row>
    <row r="101" ht="15.75" customHeight="1">
      <c r="A101" s="47"/>
      <c r="B101" s="48" t="s">
        <v>6</v>
      </c>
      <c r="C101" s="108">
        <v>12.0</v>
      </c>
      <c r="D101" s="49"/>
      <c r="E101" s="99">
        <v>12.0</v>
      </c>
      <c r="F101" s="99">
        <v>12.0</v>
      </c>
      <c r="G101" s="99">
        <v>12.0</v>
      </c>
      <c r="H101" s="99"/>
      <c r="I101" s="49"/>
      <c r="J101" s="49"/>
      <c r="K101" s="49"/>
      <c r="L101" s="49"/>
      <c r="M101" s="49"/>
      <c r="N101" s="49"/>
      <c r="O101" s="49"/>
      <c r="P101" s="49"/>
      <c r="Q101" s="99">
        <v>11.0</v>
      </c>
      <c r="R101" s="99">
        <v>12.0</v>
      </c>
      <c r="S101" s="99"/>
      <c r="T101" s="99">
        <v>12.0</v>
      </c>
      <c r="U101" s="99">
        <v>12.0</v>
      </c>
      <c r="V101" s="99"/>
      <c r="W101" s="99">
        <v>12.0</v>
      </c>
      <c r="X101" s="99">
        <v>12.0</v>
      </c>
      <c r="Y101" s="99"/>
      <c r="Z101" s="49"/>
      <c r="AA101" s="49"/>
      <c r="AB101" s="49"/>
      <c r="AC101" s="99">
        <v>12.0</v>
      </c>
      <c r="AD101" s="99">
        <v>12.0</v>
      </c>
      <c r="AE101" s="99"/>
      <c r="AF101" s="99">
        <v>12.0</v>
      </c>
      <c r="AH101" s="40"/>
      <c r="AI101" s="39">
        <f t="shared" si="6"/>
        <v>155</v>
      </c>
      <c r="AJ101" s="41"/>
      <c r="AK101" s="41"/>
      <c r="AL101" s="42"/>
      <c r="AM101" s="43">
        <f t="array" ref="AM101:AP101">AI101:AL101/4</f>
        <v>38.75</v>
      </c>
      <c r="AN101" s="44"/>
      <c r="AO101" s="44"/>
      <c r="AP101" s="45"/>
      <c r="AQ101" s="46"/>
    </row>
    <row r="102" ht="15.75" customHeight="1">
      <c r="A102" s="47"/>
      <c r="B102" s="48" t="s">
        <v>7</v>
      </c>
      <c r="C102" s="108"/>
      <c r="D102" s="99">
        <v>12.0</v>
      </c>
      <c r="E102" s="99">
        <v>12.0</v>
      </c>
      <c r="F102" s="99"/>
      <c r="G102" s="99">
        <v>12.0</v>
      </c>
      <c r="H102" s="99">
        <v>12.0</v>
      </c>
      <c r="I102" s="49"/>
      <c r="J102" s="49"/>
      <c r="K102" s="49"/>
      <c r="L102" s="49"/>
      <c r="M102" s="49"/>
      <c r="N102" s="49"/>
      <c r="O102" s="49"/>
      <c r="P102" s="49"/>
      <c r="Q102" s="99">
        <v>11.0</v>
      </c>
      <c r="R102" s="99">
        <v>12.0</v>
      </c>
      <c r="S102" s="99">
        <v>12.0</v>
      </c>
      <c r="T102" s="99">
        <v>12.0</v>
      </c>
      <c r="U102" s="99"/>
      <c r="V102" s="99">
        <v>12.0</v>
      </c>
      <c r="W102" s="99">
        <v>12.0</v>
      </c>
      <c r="X102" s="99">
        <v>12.0</v>
      </c>
      <c r="Y102" s="99">
        <v>12.0</v>
      </c>
      <c r="Z102" s="49"/>
      <c r="AA102" s="49"/>
      <c r="AB102" s="49"/>
      <c r="AC102" s="99">
        <v>12.0</v>
      </c>
      <c r="AD102" s="99">
        <v>12.0</v>
      </c>
      <c r="AE102" s="99">
        <v>12.0</v>
      </c>
      <c r="AF102" s="99">
        <v>12.0</v>
      </c>
      <c r="AH102" s="40"/>
      <c r="AI102" s="39">
        <f t="shared" si="6"/>
        <v>191</v>
      </c>
      <c r="AJ102" s="41"/>
      <c r="AK102" s="41"/>
      <c r="AL102" s="42"/>
      <c r="AM102" s="43">
        <f t="array" ref="AM102:AP102">AI102:AL102/4</f>
        <v>47.75</v>
      </c>
      <c r="AN102" s="44"/>
      <c r="AO102" s="44"/>
      <c r="AP102" s="45"/>
      <c r="AQ102" s="46"/>
    </row>
    <row r="103" ht="15.75" customHeight="1">
      <c r="A103" s="47"/>
      <c r="B103" s="48"/>
      <c r="C103" s="109"/>
      <c r="D103" s="101"/>
      <c r="E103" s="53"/>
      <c r="F103" s="101"/>
      <c r="G103" s="101"/>
      <c r="H103" s="101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H103" s="40"/>
      <c r="AI103" s="39">
        <f t="shared" si="6"/>
        <v>0</v>
      </c>
      <c r="AJ103" s="41"/>
      <c r="AK103" s="41"/>
      <c r="AL103" s="42"/>
      <c r="AM103" s="43">
        <f t="array" ref="AM103:AP103">AI103:AL103/4</f>
        <v>0</v>
      </c>
      <c r="AN103" s="44"/>
      <c r="AO103" s="44"/>
      <c r="AP103" s="45"/>
      <c r="AQ103" s="46"/>
    </row>
    <row r="104" ht="15.75" customHeight="1">
      <c r="A104" s="47"/>
      <c r="B104" s="48"/>
      <c r="C104" s="52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H104" s="40"/>
      <c r="AI104" s="39">
        <f t="shared" si="6"/>
        <v>0</v>
      </c>
      <c r="AJ104" s="41"/>
      <c r="AK104" s="41"/>
      <c r="AL104" s="42"/>
      <c r="AM104" s="43">
        <f t="array" ref="AM104:AP104">AI104:AL104/4</f>
        <v>0</v>
      </c>
      <c r="AN104" s="44"/>
      <c r="AO104" s="44"/>
      <c r="AP104" s="45"/>
      <c r="AQ104" s="46"/>
    </row>
    <row r="105" ht="15.75" customHeight="1">
      <c r="A105" s="47"/>
      <c r="B105" s="48"/>
      <c r="C105" s="52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H105" s="40"/>
      <c r="AI105" s="39">
        <f t="shared" si="6"/>
        <v>0</v>
      </c>
      <c r="AJ105" s="41"/>
      <c r="AK105" s="41"/>
      <c r="AL105" s="42"/>
      <c r="AM105" s="43">
        <f t="array" ref="AM105:AP105">AI105:AL105/4</f>
        <v>0</v>
      </c>
      <c r="AN105" s="44"/>
      <c r="AO105" s="44"/>
      <c r="AP105" s="45"/>
      <c r="AQ105" s="46"/>
    </row>
    <row r="106" ht="15.75" customHeight="1">
      <c r="A106" s="30"/>
      <c r="B106" s="48"/>
      <c r="C106" s="52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H106" s="40"/>
      <c r="AI106" s="55">
        <f t="shared" si="6"/>
        <v>0</v>
      </c>
      <c r="AJ106" s="56"/>
      <c r="AK106" s="56"/>
      <c r="AL106" s="57"/>
      <c r="AM106" s="52">
        <f t="array" ref="AM106:AP106">AI106:AL106/4</f>
        <v>0</v>
      </c>
      <c r="AN106" s="56"/>
      <c r="AO106" s="56"/>
      <c r="AP106" s="57"/>
      <c r="AQ106" s="46"/>
    </row>
    <row r="107" ht="15.75" customHeight="1">
      <c r="A107" s="58" t="s">
        <v>8</v>
      </c>
      <c r="B107" s="59" t="s">
        <v>9</v>
      </c>
      <c r="C107" s="36"/>
      <c r="D107" s="61"/>
      <c r="E107" s="61"/>
      <c r="F107" s="61"/>
      <c r="G107" s="61"/>
      <c r="H107" s="61"/>
      <c r="I107" s="100">
        <v>27.0</v>
      </c>
      <c r="J107" s="100">
        <v>24.0</v>
      </c>
      <c r="K107" s="100">
        <v>24.0</v>
      </c>
      <c r="L107" s="100">
        <v>24.0</v>
      </c>
      <c r="M107" s="100">
        <v>24.0</v>
      </c>
      <c r="N107" s="100">
        <v>24.0</v>
      </c>
      <c r="O107" s="100">
        <v>24.0</v>
      </c>
      <c r="P107" s="100">
        <v>24.0</v>
      </c>
      <c r="Q107" s="100">
        <v>13.0</v>
      </c>
      <c r="R107" s="61"/>
      <c r="S107" s="61"/>
      <c r="T107" s="61"/>
      <c r="U107" s="62"/>
      <c r="V107" s="63"/>
      <c r="W107" s="63"/>
      <c r="X107" s="63"/>
      <c r="Y107" s="63"/>
      <c r="Z107" s="110">
        <v>17.0</v>
      </c>
      <c r="AA107" s="100">
        <v>24.0</v>
      </c>
      <c r="AB107" s="100">
        <v>24.0</v>
      </c>
      <c r="AC107" s="100">
        <v>12.0</v>
      </c>
      <c r="AD107" s="61"/>
      <c r="AE107" s="61"/>
      <c r="AF107" s="61"/>
      <c r="AH107" s="40"/>
      <c r="AI107" s="64">
        <f t="shared" si="6"/>
        <v>285</v>
      </c>
      <c r="AJ107" s="65"/>
      <c r="AK107" s="65"/>
      <c r="AL107" s="66"/>
      <c r="AM107" s="36">
        <f t="array" ref="AM107:AP107">AI107:AL107/4</f>
        <v>71.25</v>
      </c>
      <c r="AN107" s="65"/>
      <c r="AO107" s="65"/>
      <c r="AP107" s="66"/>
      <c r="AQ107" s="46"/>
    </row>
    <row r="108" ht="15.75" customHeight="1">
      <c r="A108" s="67"/>
      <c r="B108" s="68" t="s">
        <v>18</v>
      </c>
      <c r="C108" s="52"/>
      <c r="D108" s="53"/>
      <c r="E108" s="53"/>
      <c r="F108" s="53"/>
      <c r="G108" s="53"/>
      <c r="H108" s="53"/>
      <c r="I108" s="101">
        <v>27.0</v>
      </c>
      <c r="J108" s="101">
        <v>24.0</v>
      </c>
      <c r="K108" s="101">
        <v>24.0</v>
      </c>
      <c r="L108" s="101">
        <v>24.0</v>
      </c>
      <c r="M108" s="101">
        <v>24.0</v>
      </c>
      <c r="N108" s="101">
        <v>24.0</v>
      </c>
      <c r="O108" s="101">
        <v>24.0</v>
      </c>
      <c r="P108" s="101">
        <v>24.0</v>
      </c>
      <c r="Q108" s="101">
        <v>13.0</v>
      </c>
      <c r="R108" s="53"/>
      <c r="S108" s="53"/>
      <c r="T108" s="53"/>
      <c r="U108" s="88"/>
      <c r="V108" s="111"/>
      <c r="W108" s="111">
        <v>12.0</v>
      </c>
      <c r="X108" s="111">
        <v>12.0</v>
      </c>
      <c r="Y108" s="111">
        <v>12.0</v>
      </c>
      <c r="Z108" s="49"/>
      <c r="AA108" s="101"/>
      <c r="AB108" s="53"/>
      <c r="AC108" s="53"/>
      <c r="AD108" s="53"/>
      <c r="AE108" s="101">
        <v>12.0</v>
      </c>
      <c r="AF108" s="101">
        <v>9.0</v>
      </c>
      <c r="AH108" s="40"/>
      <c r="AI108" s="39">
        <f t="shared" si="6"/>
        <v>265</v>
      </c>
      <c r="AJ108" s="41"/>
      <c r="AK108" s="41"/>
      <c r="AL108" s="42"/>
      <c r="AM108" s="43">
        <f t="array" ref="AM108:AP108">AI108:AL108/4</f>
        <v>66.25</v>
      </c>
      <c r="AN108" s="44"/>
      <c r="AO108" s="44"/>
      <c r="AP108" s="45"/>
      <c r="AQ108" s="46"/>
    </row>
    <row r="109" ht="15.75" customHeight="1">
      <c r="A109" s="32"/>
      <c r="B109" s="68"/>
      <c r="C109" s="52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63"/>
      <c r="AA109" s="53"/>
      <c r="AB109" s="53"/>
      <c r="AC109" s="53"/>
      <c r="AD109" s="53"/>
      <c r="AE109" s="53"/>
      <c r="AF109" s="53"/>
      <c r="AH109" s="40"/>
      <c r="AI109" s="55">
        <f t="shared" si="6"/>
        <v>0</v>
      </c>
      <c r="AJ109" s="56"/>
      <c r="AK109" s="56"/>
      <c r="AL109" s="57"/>
      <c r="AM109" s="40">
        <f t="array" ref="AM109:AP109">AI109:AL109/4</f>
        <v>0</v>
      </c>
      <c r="AP109" s="74"/>
      <c r="AQ109" s="46"/>
    </row>
    <row r="110" ht="15.75" customHeight="1">
      <c r="A110" s="75" t="s">
        <v>11</v>
      </c>
      <c r="B110" s="76" t="s">
        <v>12</v>
      </c>
      <c r="C110" s="102">
        <v>12.0</v>
      </c>
      <c r="D110" s="100"/>
      <c r="E110" s="100">
        <v>12.0</v>
      </c>
      <c r="F110" s="100"/>
      <c r="G110" s="100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100"/>
      <c r="U110" s="100">
        <v>12.0</v>
      </c>
      <c r="V110" s="100"/>
      <c r="W110" s="100"/>
      <c r="X110" s="61"/>
      <c r="Y110" s="100">
        <v>9.0</v>
      </c>
      <c r="Z110" s="100"/>
      <c r="AA110" s="100"/>
      <c r="AB110" s="100"/>
      <c r="AC110" s="100"/>
      <c r="AD110" s="100">
        <v>9.0</v>
      </c>
      <c r="AE110" s="61"/>
      <c r="AF110" s="61"/>
      <c r="AH110" s="40"/>
      <c r="AI110" s="64">
        <f t="shared" si="6"/>
        <v>54</v>
      </c>
      <c r="AJ110" s="65"/>
      <c r="AK110" s="65"/>
      <c r="AL110" s="66"/>
      <c r="AM110" s="36">
        <f t="array" ref="AM110:AP110">AI110:AL110/4</f>
        <v>13.5</v>
      </c>
      <c r="AN110" s="65"/>
      <c r="AO110" s="65"/>
      <c r="AP110" s="66"/>
      <c r="AQ110" s="46"/>
    </row>
    <row r="111" ht="15.75" customHeight="1">
      <c r="A111" s="47"/>
      <c r="B111" s="78" t="s">
        <v>13</v>
      </c>
      <c r="C111" s="108">
        <v>9.0</v>
      </c>
      <c r="D111" s="99">
        <v>9.0</v>
      </c>
      <c r="E111" s="99">
        <v>9.0</v>
      </c>
      <c r="F111" s="99"/>
      <c r="G111" s="99">
        <v>9.0</v>
      </c>
      <c r="H111" s="99">
        <v>9.0</v>
      </c>
      <c r="I111" s="49"/>
      <c r="J111" s="49"/>
      <c r="K111" s="49"/>
      <c r="L111" s="49"/>
      <c r="M111" s="49"/>
      <c r="N111" s="49"/>
      <c r="O111" s="49"/>
      <c r="P111" s="49"/>
      <c r="Q111" s="49"/>
      <c r="R111" s="99">
        <v>9.0</v>
      </c>
      <c r="S111" s="99">
        <v>9.0</v>
      </c>
      <c r="T111" s="99">
        <v>9.0</v>
      </c>
      <c r="U111" s="99">
        <v>9.0</v>
      </c>
      <c r="V111" s="99">
        <v>9.0</v>
      </c>
      <c r="W111" s="99"/>
      <c r="X111" s="99"/>
      <c r="Y111" s="99"/>
      <c r="Z111" s="99">
        <v>24.0</v>
      </c>
      <c r="AA111" s="99">
        <v>24.0</v>
      </c>
      <c r="AB111" s="99">
        <v>24.0</v>
      </c>
      <c r="AC111" s="99">
        <v>12.0</v>
      </c>
      <c r="AD111" s="49"/>
      <c r="AE111" s="49"/>
      <c r="AF111" s="49"/>
      <c r="AH111" s="40"/>
      <c r="AI111" s="39">
        <f t="shared" si="6"/>
        <v>174</v>
      </c>
      <c r="AJ111" s="41"/>
      <c r="AK111" s="41"/>
      <c r="AL111" s="42"/>
      <c r="AM111" s="43">
        <f t="array" ref="AM111:AP111">AI111:AL111/4</f>
        <v>43.5</v>
      </c>
      <c r="AN111" s="44"/>
      <c r="AO111" s="44"/>
      <c r="AP111" s="45"/>
      <c r="AQ111" s="46"/>
    </row>
    <row r="112" ht="14.25" customHeight="1">
      <c r="A112" s="47"/>
      <c r="B112" s="78" t="s">
        <v>14</v>
      </c>
      <c r="C112" s="43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  <c r="AD112" s="49"/>
      <c r="AE112" s="49"/>
      <c r="AF112" s="49"/>
      <c r="AH112" s="40"/>
      <c r="AI112" s="39">
        <f t="shared" si="6"/>
        <v>0</v>
      </c>
      <c r="AJ112" s="41"/>
      <c r="AK112" s="41"/>
      <c r="AL112" s="42"/>
      <c r="AM112" s="43">
        <f t="array" ref="AM112:AP112">AI112:AL112/4</f>
        <v>0</v>
      </c>
      <c r="AN112" s="44"/>
      <c r="AO112" s="44"/>
      <c r="AP112" s="45"/>
      <c r="AQ112" s="46"/>
    </row>
    <row r="113" ht="15.75" customHeight="1">
      <c r="A113" s="47"/>
      <c r="B113" s="78"/>
      <c r="C113" s="43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  <c r="AD113" s="49"/>
      <c r="AE113" s="49"/>
      <c r="AF113" s="94"/>
      <c r="AH113" s="40"/>
      <c r="AI113" s="39">
        <f t="shared" si="6"/>
        <v>0</v>
      </c>
      <c r="AJ113" s="41"/>
      <c r="AK113" s="41"/>
      <c r="AL113" s="42"/>
      <c r="AM113" s="43">
        <f t="array" ref="AM113:AP113">AI113:AL113/4</f>
        <v>0</v>
      </c>
      <c r="AN113" s="44"/>
      <c r="AO113" s="44"/>
      <c r="AP113" s="45"/>
      <c r="AQ113" s="46"/>
    </row>
    <row r="114" ht="15.75" customHeight="1">
      <c r="A114" s="47"/>
      <c r="B114" s="78"/>
      <c r="C114" s="43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  <c r="AD114" s="49"/>
      <c r="AE114" s="49"/>
      <c r="AF114" s="94"/>
      <c r="AH114" s="40"/>
      <c r="AI114" s="39">
        <f t="shared" si="6"/>
        <v>0</v>
      </c>
      <c r="AJ114" s="41"/>
      <c r="AK114" s="41"/>
      <c r="AL114" s="42"/>
      <c r="AM114" s="43">
        <f t="array" ref="AM114:AP114">AI114:AL114/4</f>
        <v>0</v>
      </c>
      <c r="AN114" s="44"/>
      <c r="AO114" s="44"/>
      <c r="AP114" s="45"/>
      <c r="AQ114" s="46"/>
    </row>
    <row r="115" ht="15.75" customHeight="1">
      <c r="A115" s="30"/>
      <c r="B115" s="79" t="s">
        <v>15</v>
      </c>
      <c r="C115" s="112">
        <v>12.0</v>
      </c>
      <c r="D115" s="103">
        <v>21.0</v>
      </c>
      <c r="E115" s="80"/>
      <c r="F115" s="103">
        <v>12.0</v>
      </c>
      <c r="G115" s="80"/>
      <c r="H115" s="103">
        <v>12.0</v>
      </c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103">
        <v>12.0</v>
      </c>
      <c r="T115" s="80"/>
      <c r="U115" s="103">
        <v>12.0</v>
      </c>
      <c r="V115" s="103">
        <v>12.0</v>
      </c>
      <c r="W115" s="80"/>
      <c r="X115" s="80"/>
      <c r="Y115" s="103">
        <v>12.0</v>
      </c>
      <c r="Z115" s="80"/>
      <c r="AA115" s="80"/>
      <c r="AB115" s="80"/>
      <c r="AC115" s="80"/>
      <c r="AD115" s="80"/>
      <c r="AE115" s="103">
        <v>12.0</v>
      </c>
      <c r="AF115" s="80"/>
      <c r="AG115" s="41"/>
      <c r="AH115" s="40"/>
      <c r="AI115" s="55">
        <f t="shared" si="6"/>
        <v>117</v>
      </c>
      <c r="AJ115" s="56"/>
      <c r="AK115" s="56"/>
      <c r="AL115" s="57"/>
      <c r="AM115" s="43">
        <f t="array" ref="AM115:AP115">AI115:AL115/4</f>
        <v>29.25</v>
      </c>
      <c r="AN115" s="44"/>
      <c r="AO115" s="44"/>
      <c r="AP115" s="45"/>
      <c r="AQ115" s="46"/>
    </row>
    <row r="116" ht="15.75" customHeight="1">
      <c r="A116" s="4" t="s">
        <v>24</v>
      </c>
      <c r="B116" s="5"/>
      <c r="C116" s="6">
        <v>1.0</v>
      </c>
      <c r="D116" s="13">
        <v>2.0</v>
      </c>
      <c r="E116" s="14">
        <v>3.0</v>
      </c>
      <c r="F116" s="9">
        <v>4.0</v>
      </c>
      <c r="G116" s="9">
        <v>5.0</v>
      </c>
      <c r="H116" s="10">
        <v>6.0</v>
      </c>
      <c r="I116" s="11">
        <v>7.0</v>
      </c>
      <c r="J116" s="12">
        <v>8.0</v>
      </c>
      <c r="K116" s="13">
        <v>9.0</v>
      </c>
      <c r="L116" s="14">
        <v>10.0</v>
      </c>
      <c r="M116" s="9">
        <v>11.0</v>
      </c>
      <c r="N116" s="9">
        <v>12.0</v>
      </c>
      <c r="O116" s="10">
        <v>13.0</v>
      </c>
      <c r="P116" s="11">
        <v>14.0</v>
      </c>
      <c r="Q116" s="12">
        <v>15.0</v>
      </c>
      <c r="R116" s="11">
        <v>16.0</v>
      </c>
      <c r="S116" s="9">
        <v>17.0</v>
      </c>
      <c r="T116" s="9">
        <v>18.0</v>
      </c>
      <c r="U116" s="9">
        <v>19.0</v>
      </c>
      <c r="V116" s="15">
        <v>20.0</v>
      </c>
      <c r="W116" s="16">
        <v>21.0</v>
      </c>
      <c r="X116" s="17">
        <v>22.0</v>
      </c>
      <c r="Y116" s="7">
        <v>23.0</v>
      </c>
      <c r="Z116" s="8">
        <v>24.0</v>
      </c>
      <c r="AA116" s="8">
        <v>25.0</v>
      </c>
      <c r="AB116" s="8">
        <v>26.0</v>
      </c>
      <c r="AC116" s="15">
        <v>27.0</v>
      </c>
      <c r="AD116" s="16">
        <v>28.0</v>
      </c>
      <c r="AE116" s="10">
        <v>29.0</v>
      </c>
      <c r="AF116" s="16">
        <v>30.0</v>
      </c>
      <c r="AG116" s="97">
        <v>31.0</v>
      </c>
      <c r="AH116" s="21">
        <f>SUM(AI99:AL115)</f>
        <v>1395</v>
      </c>
      <c r="AI116" s="22" t="s">
        <v>1</v>
      </c>
      <c r="AJ116" s="5"/>
      <c r="AK116" s="5"/>
      <c r="AL116" s="5"/>
      <c r="AM116" s="22" t="s">
        <v>2</v>
      </c>
      <c r="AN116" s="5"/>
      <c r="AO116" s="5"/>
      <c r="AP116" s="23"/>
      <c r="AQ116" s="24"/>
    </row>
    <row r="117" ht="15.75" customHeight="1">
      <c r="A117" s="25"/>
      <c r="B117" s="2"/>
      <c r="C117" s="26"/>
      <c r="D117" s="27"/>
      <c r="E117" s="28"/>
      <c r="F117" s="28"/>
      <c r="G117" s="28"/>
      <c r="H117" s="29"/>
      <c r="I117" s="30"/>
      <c r="J117" s="31"/>
      <c r="K117" s="27"/>
      <c r="L117" s="28"/>
      <c r="M117" s="28"/>
      <c r="N117" s="28"/>
      <c r="O117" s="29"/>
      <c r="P117" s="30"/>
      <c r="Q117" s="31"/>
      <c r="R117" s="30"/>
      <c r="S117" s="28"/>
      <c r="T117" s="28"/>
      <c r="U117" s="28"/>
      <c r="V117" s="29"/>
      <c r="W117" s="30"/>
      <c r="X117" s="31"/>
      <c r="Y117" s="27"/>
      <c r="Z117" s="28"/>
      <c r="AA117" s="28"/>
      <c r="AB117" s="28"/>
      <c r="AC117" s="29"/>
      <c r="AD117" s="30"/>
      <c r="AE117" s="29"/>
      <c r="AF117" s="30"/>
      <c r="AG117" s="98"/>
      <c r="AH117" s="21"/>
      <c r="AI117" s="25"/>
      <c r="AJ117" s="2"/>
      <c r="AK117" s="2"/>
      <c r="AL117" s="2"/>
      <c r="AM117" s="25"/>
      <c r="AN117" s="2"/>
      <c r="AO117" s="2"/>
      <c r="AP117" s="33"/>
      <c r="AQ117" s="24"/>
    </row>
    <row r="118" ht="15.75" customHeight="1">
      <c r="A118" s="34" t="s">
        <v>3</v>
      </c>
      <c r="B118" s="35" t="s">
        <v>4</v>
      </c>
      <c r="C118" s="102"/>
      <c r="D118" s="37"/>
      <c r="E118" s="37"/>
      <c r="F118" s="37"/>
      <c r="G118" s="106">
        <v>12.0</v>
      </c>
      <c r="H118" s="106">
        <v>12.0</v>
      </c>
      <c r="I118" s="106"/>
      <c r="J118" s="106">
        <v>12.0</v>
      </c>
      <c r="K118" s="106">
        <v>12.0</v>
      </c>
      <c r="L118" s="106">
        <v>6.0</v>
      </c>
      <c r="M118" s="37"/>
      <c r="N118" s="37"/>
      <c r="O118" s="106"/>
      <c r="P118" s="106"/>
      <c r="Q118" s="106">
        <v>12.0</v>
      </c>
      <c r="R118" s="106">
        <v>12.0</v>
      </c>
      <c r="S118" s="106">
        <v>12.0</v>
      </c>
      <c r="T118" s="106"/>
      <c r="U118" s="106">
        <v>12.0</v>
      </c>
      <c r="V118" s="106">
        <v>12.0</v>
      </c>
      <c r="W118" s="106">
        <v>12.0</v>
      </c>
      <c r="X118" s="106"/>
      <c r="Y118" s="106">
        <v>12.0</v>
      </c>
      <c r="Z118" s="106">
        <v>12.0</v>
      </c>
      <c r="AA118" s="106">
        <v>12.0</v>
      </c>
      <c r="AB118" s="37"/>
      <c r="AC118" s="37"/>
      <c r="AD118" s="37"/>
      <c r="AE118" s="37"/>
      <c r="AF118" s="113"/>
      <c r="AG118" s="39"/>
      <c r="AH118" s="40"/>
      <c r="AI118" s="39">
        <f t="shared" ref="AI118:AI133" si="7">SUM(C118:AG118)</f>
        <v>162</v>
      </c>
      <c r="AJ118" s="41"/>
      <c r="AK118" s="41"/>
      <c r="AL118" s="42"/>
      <c r="AM118" s="43">
        <f t="array" ref="AM118:AP118">AI118:AL118/4</f>
        <v>40.5</v>
      </c>
      <c r="AN118" s="44"/>
      <c r="AO118" s="44"/>
      <c r="AP118" s="45"/>
      <c r="AQ118" s="46"/>
    </row>
    <row r="119" ht="15.75" customHeight="1">
      <c r="A119" s="47"/>
      <c r="B119" s="48" t="s">
        <v>5</v>
      </c>
      <c r="C119" s="43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  <c r="AD119" s="49"/>
      <c r="AE119" s="49"/>
      <c r="AF119" s="94"/>
      <c r="AG119" s="50"/>
      <c r="AH119" s="40"/>
      <c r="AI119" s="39">
        <f t="shared" si="7"/>
        <v>0</v>
      </c>
      <c r="AJ119" s="41"/>
      <c r="AK119" s="41"/>
      <c r="AL119" s="42"/>
      <c r="AM119" s="43">
        <f t="array" ref="AM119:AP119">AI119:AL119/4</f>
        <v>0</v>
      </c>
      <c r="AN119" s="44"/>
      <c r="AO119" s="44"/>
      <c r="AP119" s="45"/>
      <c r="AQ119" s="46"/>
    </row>
    <row r="120" ht="15.75" customHeight="1">
      <c r="A120" s="47"/>
      <c r="B120" s="48" t="s">
        <v>6</v>
      </c>
      <c r="C120" s="108">
        <v>12.0</v>
      </c>
      <c r="D120" s="99"/>
      <c r="E120" s="49"/>
      <c r="F120" s="99">
        <v>12.0</v>
      </c>
      <c r="G120" s="99">
        <v>12.0</v>
      </c>
      <c r="H120" s="99"/>
      <c r="I120" s="99"/>
      <c r="J120" s="99">
        <v>12.0</v>
      </c>
      <c r="K120" s="99">
        <v>12.0</v>
      </c>
      <c r="L120" s="49"/>
      <c r="M120" s="49"/>
      <c r="N120" s="49"/>
      <c r="O120" s="99"/>
      <c r="P120" s="99">
        <v>12.0</v>
      </c>
      <c r="Q120" s="99">
        <v>12.0</v>
      </c>
      <c r="R120" s="99"/>
      <c r="S120" s="99">
        <v>12.0</v>
      </c>
      <c r="T120" s="99">
        <v>12.0</v>
      </c>
      <c r="U120" s="99"/>
      <c r="V120" s="99"/>
      <c r="W120" s="99">
        <v>12.0</v>
      </c>
      <c r="X120" s="99">
        <v>12.0</v>
      </c>
      <c r="Y120" s="99"/>
      <c r="Z120" s="99">
        <v>12.0</v>
      </c>
      <c r="AA120" s="99">
        <v>12.0</v>
      </c>
      <c r="AB120" s="49"/>
      <c r="AC120" s="49"/>
      <c r="AD120" s="49"/>
      <c r="AE120" s="49"/>
      <c r="AF120" s="94"/>
      <c r="AG120" s="50"/>
      <c r="AH120" s="40"/>
      <c r="AI120" s="39">
        <f t="shared" si="7"/>
        <v>156</v>
      </c>
      <c r="AJ120" s="41"/>
      <c r="AK120" s="41"/>
      <c r="AL120" s="42"/>
      <c r="AM120" s="43">
        <f t="array" ref="AM120:AP120">AI120:AL120/4</f>
        <v>39</v>
      </c>
      <c r="AN120" s="44"/>
      <c r="AO120" s="44"/>
      <c r="AP120" s="45"/>
      <c r="AQ120" s="46"/>
    </row>
    <row r="121" ht="15.75" customHeight="1">
      <c r="A121" s="47"/>
      <c r="B121" s="48" t="s">
        <v>7</v>
      </c>
      <c r="C121" s="108">
        <v>12.0</v>
      </c>
      <c r="D121" s="49"/>
      <c r="E121" s="49"/>
      <c r="F121" s="99">
        <v>12.0</v>
      </c>
      <c r="G121" s="99">
        <v>12.0</v>
      </c>
      <c r="H121" s="99">
        <v>12.0</v>
      </c>
      <c r="I121" s="99">
        <v>12.0</v>
      </c>
      <c r="J121" s="99"/>
      <c r="K121" s="99"/>
      <c r="L121" s="99"/>
      <c r="M121" s="49"/>
      <c r="N121" s="49"/>
      <c r="O121" s="99"/>
      <c r="P121" s="99">
        <v>12.0</v>
      </c>
      <c r="Q121" s="99">
        <v>12.0</v>
      </c>
      <c r="R121" s="99">
        <v>12.0</v>
      </c>
      <c r="S121" s="99"/>
      <c r="T121" s="99">
        <v>12.0</v>
      </c>
      <c r="U121" s="99">
        <v>12.0</v>
      </c>
      <c r="V121" s="99">
        <v>12.0</v>
      </c>
      <c r="W121" s="99"/>
      <c r="X121" s="99">
        <v>12.0</v>
      </c>
      <c r="Y121" s="99">
        <v>12.0</v>
      </c>
      <c r="Z121" s="99"/>
      <c r="AA121" s="99"/>
      <c r="AB121" s="49"/>
      <c r="AC121" s="49"/>
      <c r="AD121" s="49"/>
      <c r="AE121" s="49"/>
      <c r="AF121" s="49"/>
      <c r="AG121" s="50"/>
      <c r="AH121" s="40"/>
      <c r="AI121" s="39">
        <f t="shared" si="7"/>
        <v>156</v>
      </c>
      <c r="AJ121" s="41"/>
      <c r="AK121" s="41"/>
      <c r="AL121" s="42"/>
      <c r="AM121" s="43">
        <f t="array" ref="AM121:AP121">AI121:AL121/4</f>
        <v>39</v>
      </c>
      <c r="AN121" s="44"/>
      <c r="AO121" s="44"/>
      <c r="AP121" s="45"/>
      <c r="AQ121" s="46"/>
    </row>
    <row r="122" ht="15.75" customHeight="1">
      <c r="A122" s="47"/>
      <c r="B122" s="114" t="s">
        <v>25</v>
      </c>
      <c r="C122" s="52"/>
      <c r="D122" s="53"/>
      <c r="E122" s="53"/>
      <c r="F122" s="53"/>
      <c r="G122" s="53"/>
      <c r="H122" s="101">
        <v>12.0</v>
      </c>
      <c r="I122" s="101">
        <v>12.0</v>
      </c>
      <c r="J122" s="101">
        <v>12.0</v>
      </c>
      <c r="K122" s="101">
        <v>12.0</v>
      </c>
      <c r="L122" s="53"/>
      <c r="M122" s="53"/>
      <c r="N122" s="53"/>
      <c r="O122" s="53"/>
      <c r="P122" s="101"/>
      <c r="Q122" s="101"/>
      <c r="R122" s="101">
        <v>12.0</v>
      </c>
      <c r="S122" s="101">
        <v>12.0</v>
      </c>
      <c r="T122" s="101"/>
      <c r="U122" s="101">
        <v>12.0</v>
      </c>
      <c r="V122" s="101">
        <v>12.0</v>
      </c>
      <c r="W122" s="101">
        <v>12.0</v>
      </c>
      <c r="X122" s="101"/>
      <c r="Y122" s="101">
        <v>12.0</v>
      </c>
      <c r="Z122" s="101">
        <v>12.0</v>
      </c>
      <c r="AA122" s="101">
        <v>12.0</v>
      </c>
      <c r="AB122" s="53"/>
      <c r="AC122" s="53"/>
      <c r="AD122" s="53"/>
      <c r="AE122" s="53"/>
      <c r="AF122" s="53"/>
      <c r="AG122" s="55"/>
      <c r="AH122" s="40"/>
      <c r="AI122" s="39">
        <f t="shared" si="7"/>
        <v>144</v>
      </c>
      <c r="AJ122" s="41"/>
      <c r="AK122" s="41"/>
      <c r="AL122" s="42"/>
      <c r="AM122" s="43">
        <f t="array" ref="AM122:AP122">AI122:AL122/4</f>
        <v>36</v>
      </c>
      <c r="AN122" s="44"/>
      <c r="AO122" s="44"/>
      <c r="AP122" s="45"/>
      <c r="AQ122" s="46"/>
    </row>
    <row r="123" ht="15.75" customHeight="1">
      <c r="A123" s="47"/>
      <c r="B123" s="48"/>
      <c r="C123" s="52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5"/>
      <c r="AH123" s="40"/>
      <c r="AI123" s="39">
        <f t="shared" si="7"/>
        <v>0</v>
      </c>
      <c r="AJ123" s="41"/>
      <c r="AK123" s="41"/>
      <c r="AL123" s="42"/>
      <c r="AM123" s="43">
        <f t="array" ref="AM123:AP123">AI123:AL123/4</f>
        <v>0</v>
      </c>
      <c r="AN123" s="44"/>
      <c r="AO123" s="44"/>
      <c r="AP123" s="45"/>
      <c r="AQ123" s="46"/>
    </row>
    <row r="124" ht="15.75" customHeight="1">
      <c r="A124" s="47"/>
      <c r="B124" s="48"/>
      <c r="C124" s="52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5"/>
      <c r="AH124" s="40"/>
      <c r="AI124" s="39">
        <f t="shared" si="7"/>
        <v>0</v>
      </c>
      <c r="AJ124" s="41"/>
      <c r="AK124" s="41"/>
      <c r="AL124" s="42"/>
      <c r="AM124" s="43">
        <f t="array" ref="AM124:AP124">AI124:AL124/4</f>
        <v>0</v>
      </c>
      <c r="AN124" s="44"/>
      <c r="AO124" s="44"/>
      <c r="AP124" s="45"/>
      <c r="AQ124" s="46"/>
    </row>
    <row r="125" ht="15.75" customHeight="1">
      <c r="A125" s="30"/>
      <c r="B125" s="48"/>
      <c r="C125" s="52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5"/>
      <c r="AH125" s="40"/>
      <c r="AI125" s="55">
        <f t="shared" si="7"/>
        <v>0</v>
      </c>
      <c r="AJ125" s="56"/>
      <c r="AK125" s="56"/>
      <c r="AL125" s="57"/>
      <c r="AM125" s="52">
        <f t="array" ref="AM125:AP125">AI125:AL125/4</f>
        <v>0</v>
      </c>
      <c r="AN125" s="56"/>
      <c r="AO125" s="56"/>
      <c r="AP125" s="57"/>
      <c r="AQ125" s="46"/>
    </row>
    <row r="126" ht="15.75" customHeight="1">
      <c r="A126" s="58" t="s">
        <v>8</v>
      </c>
      <c r="B126" s="59" t="s">
        <v>9</v>
      </c>
      <c r="C126" s="36"/>
      <c r="D126" s="100">
        <v>24.0</v>
      </c>
      <c r="E126" s="100">
        <v>24.0</v>
      </c>
      <c r="F126" s="100">
        <v>12.0</v>
      </c>
      <c r="G126" s="61"/>
      <c r="H126" s="61"/>
      <c r="I126" s="61"/>
      <c r="J126" s="61"/>
      <c r="K126" s="61"/>
      <c r="L126" s="61">
        <f>24-6</f>
        <v>18</v>
      </c>
      <c r="M126" s="100">
        <v>24.0</v>
      </c>
      <c r="N126" s="100">
        <v>24.0</v>
      </c>
      <c r="O126" s="100">
        <v>24.0</v>
      </c>
      <c r="P126" s="100">
        <v>9.0</v>
      </c>
      <c r="Q126" s="61"/>
      <c r="R126" s="61"/>
      <c r="S126" s="61"/>
      <c r="T126" s="62"/>
      <c r="U126" s="63"/>
      <c r="V126" s="61"/>
      <c r="W126" s="61"/>
      <c r="X126" s="61"/>
      <c r="Y126" s="61"/>
      <c r="Z126" s="61"/>
      <c r="AA126" s="61"/>
      <c r="AB126" s="100">
        <v>24.0</v>
      </c>
      <c r="AC126" s="100">
        <v>24.0</v>
      </c>
      <c r="AD126" s="100">
        <v>24.0</v>
      </c>
      <c r="AE126" s="100">
        <v>24.0</v>
      </c>
      <c r="AF126" s="100">
        <v>24.0</v>
      </c>
      <c r="AG126" s="100">
        <v>24.0</v>
      </c>
      <c r="AH126" s="40"/>
      <c r="AI126" s="64">
        <f t="shared" si="7"/>
        <v>303</v>
      </c>
      <c r="AJ126" s="65"/>
      <c r="AK126" s="65"/>
      <c r="AL126" s="66"/>
      <c r="AM126" s="36">
        <f t="array" ref="AM126:AP126">AI126:AL126/4</f>
        <v>75.75</v>
      </c>
      <c r="AN126" s="65"/>
      <c r="AO126" s="65"/>
      <c r="AP126" s="66"/>
      <c r="AQ126" s="46"/>
    </row>
    <row r="127" ht="15.75" customHeight="1">
      <c r="A127" s="67"/>
      <c r="B127" s="68" t="s">
        <v>18</v>
      </c>
      <c r="C127" s="52"/>
      <c r="D127" s="101">
        <v>24.0</v>
      </c>
      <c r="E127" s="101">
        <v>24.0</v>
      </c>
      <c r="F127" s="101">
        <v>12.0</v>
      </c>
      <c r="G127" s="53"/>
      <c r="H127" s="53"/>
      <c r="I127" s="53"/>
      <c r="J127" s="53"/>
      <c r="K127" s="53"/>
      <c r="L127" s="101">
        <v>18.0</v>
      </c>
      <c r="M127" s="101">
        <v>24.0</v>
      </c>
      <c r="N127" s="101">
        <v>24.0</v>
      </c>
      <c r="O127" s="101">
        <v>24.0</v>
      </c>
      <c r="P127" s="101">
        <v>9.0</v>
      </c>
      <c r="Q127" s="53"/>
      <c r="R127" s="53"/>
      <c r="S127" s="53"/>
      <c r="T127" s="88"/>
      <c r="U127" s="89"/>
      <c r="V127" s="53"/>
      <c r="W127" s="53"/>
      <c r="X127" s="53"/>
      <c r="Y127" s="53"/>
      <c r="Z127" s="53"/>
      <c r="AA127" s="53"/>
      <c r="AB127" s="101">
        <v>24.0</v>
      </c>
      <c r="AC127" s="101">
        <v>24.0</v>
      </c>
      <c r="AD127" s="101">
        <v>24.0</v>
      </c>
      <c r="AE127" s="101">
        <v>24.0</v>
      </c>
      <c r="AF127" s="101">
        <v>24.0</v>
      </c>
      <c r="AG127" s="101">
        <v>24.0</v>
      </c>
      <c r="AH127" s="40"/>
      <c r="AI127" s="39">
        <f t="shared" si="7"/>
        <v>303</v>
      </c>
      <c r="AJ127" s="41"/>
      <c r="AK127" s="41"/>
      <c r="AL127" s="42"/>
      <c r="AM127" s="43">
        <f t="array" ref="AM127:AP127">AI127:AL127/4</f>
        <v>75.75</v>
      </c>
      <c r="AN127" s="44"/>
      <c r="AO127" s="44"/>
      <c r="AP127" s="45"/>
      <c r="AQ127" s="46"/>
    </row>
    <row r="128" ht="15.75" customHeight="1">
      <c r="A128" s="32"/>
      <c r="B128" s="68"/>
      <c r="C128" s="52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5"/>
      <c r="AH128" s="40"/>
      <c r="AI128" s="55">
        <f t="shared" si="7"/>
        <v>0</v>
      </c>
      <c r="AJ128" s="56"/>
      <c r="AK128" s="56"/>
      <c r="AL128" s="57"/>
      <c r="AM128" s="40">
        <f t="array" ref="AM128:AP128">AI128:AL128/4</f>
        <v>0</v>
      </c>
      <c r="AP128" s="74"/>
      <c r="AQ128" s="46"/>
    </row>
    <row r="129" ht="15.75" customHeight="1">
      <c r="A129" s="75" t="s">
        <v>11</v>
      </c>
      <c r="B129" s="76" t="s">
        <v>12</v>
      </c>
      <c r="C129" s="102">
        <v>12.0</v>
      </c>
      <c r="D129" s="61"/>
      <c r="E129" s="61"/>
      <c r="F129" s="61"/>
      <c r="G129" s="61"/>
      <c r="H129" s="61"/>
      <c r="I129" s="100">
        <v>12.0</v>
      </c>
      <c r="J129" s="100"/>
      <c r="K129" s="61"/>
      <c r="L129" s="100">
        <v>6.0</v>
      </c>
      <c r="M129" s="61"/>
      <c r="N129" s="61"/>
      <c r="O129" s="61"/>
      <c r="P129" s="100">
        <v>3.0</v>
      </c>
      <c r="Q129" s="61"/>
      <c r="R129" s="61"/>
      <c r="S129" s="100"/>
      <c r="T129" s="100">
        <v>12.0</v>
      </c>
      <c r="U129" s="61"/>
      <c r="V129" s="100">
        <v>9.0</v>
      </c>
      <c r="W129" s="61"/>
      <c r="X129" s="100">
        <v>12.0</v>
      </c>
      <c r="Y129" s="100"/>
      <c r="Z129" s="61"/>
      <c r="AA129" s="100"/>
      <c r="AB129" s="61"/>
      <c r="AC129" s="61"/>
      <c r="AD129" s="61"/>
      <c r="AE129" s="61"/>
      <c r="AF129" s="61"/>
      <c r="AG129" s="64"/>
      <c r="AH129" s="40"/>
      <c r="AI129" s="64">
        <f t="shared" si="7"/>
        <v>66</v>
      </c>
      <c r="AJ129" s="65"/>
      <c r="AK129" s="65"/>
      <c r="AL129" s="66"/>
      <c r="AM129" s="36">
        <f t="array" ref="AM129:AP129">AI129:AL129/4</f>
        <v>16.5</v>
      </c>
      <c r="AN129" s="65"/>
      <c r="AO129" s="65"/>
      <c r="AP129" s="66"/>
      <c r="AQ129" s="46"/>
    </row>
    <row r="130" ht="15.75" customHeight="1">
      <c r="A130" s="47"/>
      <c r="B130" s="78" t="s">
        <v>13</v>
      </c>
      <c r="C130" s="108">
        <v>9.0</v>
      </c>
      <c r="D130" s="49"/>
      <c r="E130" s="49"/>
      <c r="F130" s="49"/>
      <c r="G130" s="99">
        <v>9.0</v>
      </c>
      <c r="H130" s="99">
        <v>9.0</v>
      </c>
      <c r="I130" s="99">
        <v>9.0</v>
      </c>
      <c r="J130" s="99">
        <v>9.0</v>
      </c>
      <c r="K130" s="99">
        <v>9.0</v>
      </c>
      <c r="L130" s="99"/>
      <c r="M130" s="49"/>
      <c r="N130" s="49"/>
      <c r="O130" s="49"/>
      <c r="P130" s="99"/>
      <c r="Q130" s="99">
        <v>9.0</v>
      </c>
      <c r="R130" s="99">
        <v>9.0</v>
      </c>
      <c r="S130" s="99">
        <v>9.0</v>
      </c>
      <c r="T130" s="99">
        <v>9.0</v>
      </c>
      <c r="U130" s="99">
        <v>9.0</v>
      </c>
      <c r="V130" s="99"/>
      <c r="W130" s="99">
        <v>9.0</v>
      </c>
      <c r="X130" s="99">
        <v>9.0</v>
      </c>
      <c r="Y130" s="99">
        <v>9.0</v>
      </c>
      <c r="Z130" s="99">
        <v>9.0</v>
      </c>
      <c r="AA130" s="99">
        <v>9.0</v>
      </c>
      <c r="AB130" s="49"/>
      <c r="AC130" s="49"/>
      <c r="AD130" s="49"/>
      <c r="AE130" s="49"/>
      <c r="AF130" s="49"/>
      <c r="AG130" s="50"/>
      <c r="AH130" s="40"/>
      <c r="AI130" s="39">
        <f t="shared" si="7"/>
        <v>144</v>
      </c>
      <c r="AJ130" s="41"/>
      <c r="AK130" s="41"/>
      <c r="AL130" s="42"/>
      <c r="AM130" s="43">
        <f t="array" ref="AM130:AP130">AI130:AL130/4</f>
        <v>36</v>
      </c>
      <c r="AN130" s="44"/>
      <c r="AO130" s="44"/>
      <c r="AP130" s="45"/>
      <c r="AQ130" s="46"/>
    </row>
    <row r="131" ht="15.75" customHeight="1">
      <c r="A131" s="47"/>
      <c r="B131" s="78" t="s">
        <v>14</v>
      </c>
      <c r="C131" s="43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50"/>
      <c r="AH131" s="40"/>
      <c r="AI131" s="39">
        <f t="shared" si="7"/>
        <v>0</v>
      </c>
      <c r="AJ131" s="41"/>
      <c r="AK131" s="41"/>
      <c r="AL131" s="42"/>
      <c r="AM131" s="43">
        <f t="array" ref="AM131:AP131">AI131:AL131/4</f>
        <v>0</v>
      </c>
      <c r="AN131" s="44"/>
      <c r="AO131" s="44"/>
      <c r="AP131" s="45"/>
      <c r="AQ131" s="46"/>
    </row>
    <row r="132" ht="14.25" customHeight="1">
      <c r="A132" s="47"/>
      <c r="B132" s="78"/>
      <c r="C132" s="43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94"/>
      <c r="AG132" s="50"/>
      <c r="AH132" s="40"/>
      <c r="AI132" s="39">
        <f t="shared" si="7"/>
        <v>0</v>
      </c>
      <c r="AJ132" s="41"/>
      <c r="AK132" s="41"/>
      <c r="AL132" s="42"/>
      <c r="AM132" s="43">
        <f t="array" ref="AM132:AP132">AI132:AL132/4</f>
        <v>0</v>
      </c>
      <c r="AN132" s="44"/>
      <c r="AO132" s="44"/>
      <c r="AP132" s="45"/>
      <c r="AQ132" s="46"/>
    </row>
    <row r="133" ht="15.75" customHeight="1">
      <c r="A133" s="47"/>
      <c r="B133" s="78"/>
      <c r="C133" s="43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94"/>
      <c r="AG133" s="50"/>
      <c r="AH133" s="40"/>
      <c r="AI133" s="39">
        <f t="shared" si="7"/>
        <v>0</v>
      </c>
      <c r="AJ133" s="41"/>
      <c r="AK133" s="41"/>
      <c r="AL133" s="42"/>
      <c r="AM133" s="43">
        <f t="array" ref="AM133:AP133">AI133:AL133/4</f>
        <v>0</v>
      </c>
      <c r="AN133" s="44"/>
      <c r="AO133" s="44"/>
      <c r="AP133" s="45"/>
      <c r="AQ133" s="46"/>
    </row>
    <row r="134" ht="15.75" customHeight="1">
      <c r="A134" s="30"/>
      <c r="B134" s="79" t="s">
        <v>15</v>
      </c>
      <c r="C134" s="69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  <c r="AA134" s="80"/>
      <c r="AB134" s="80"/>
      <c r="AC134" s="80"/>
      <c r="AD134" s="80"/>
      <c r="AE134" s="80"/>
      <c r="AF134" s="80"/>
      <c r="AG134" s="55"/>
      <c r="AH134" s="40"/>
      <c r="AI134" s="55">
        <f>SUM(AI118:AL132)</f>
        <v>1434</v>
      </c>
      <c r="AJ134" s="56"/>
      <c r="AK134" s="56"/>
      <c r="AL134" s="57"/>
      <c r="AM134" s="43">
        <f t="array" ref="AM134:AP134">AI134:AL134/4</f>
        <v>358.5</v>
      </c>
      <c r="AN134" s="44"/>
      <c r="AO134" s="44"/>
      <c r="AP134" s="45"/>
      <c r="AQ134" s="46"/>
    </row>
    <row r="135" ht="15.75" customHeight="1">
      <c r="A135" s="4" t="s">
        <v>26</v>
      </c>
      <c r="B135" s="5"/>
      <c r="C135" s="6">
        <v>1.0</v>
      </c>
      <c r="D135" s="13">
        <v>2.0</v>
      </c>
      <c r="E135" s="14">
        <v>3.0</v>
      </c>
      <c r="F135" s="9">
        <v>4.0</v>
      </c>
      <c r="G135" s="9">
        <v>5.0</v>
      </c>
      <c r="H135" s="10">
        <v>6.0</v>
      </c>
      <c r="I135" s="11">
        <v>7.0</v>
      </c>
      <c r="J135" s="12">
        <v>8.0</v>
      </c>
      <c r="K135" s="13">
        <v>9.0</v>
      </c>
      <c r="L135" s="14">
        <v>10.0</v>
      </c>
      <c r="M135" s="9">
        <v>11.0</v>
      </c>
      <c r="N135" s="9">
        <v>12.0</v>
      </c>
      <c r="O135" s="10">
        <v>13.0</v>
      </c>
      <c r="P135" s="11">
        <v>14.0</v>
      </c>
      <c r="Q135" s="12">
        <v>15.0</v>
      </c>
      <c r="R135" s="11">
        <v>16.0</v>
      </c>
      <c r="S135" s="9">
        <v>17.0</v>
      </c>
      <c r="T135" s="9">
        <v>18.0</v>
      </c>
      <c r="U135" s="9">
        <v>19.0</v>
      </c>
      <c r="V135" s="15">
        <v>20.0</v>
      </c>
      <c r="W135" s="16">
        <v>21.0</v>
      </c>
      <c r="X135" s="17">
        <v>22.0</v>
      </c>
      <c r="Y135" s="7">
        <v>23.0</v>
      </c>
      <c r="Z135" s="8">
        <v>24.0</v>
      </c>
      <c r="AA135" s="8">
        <v>25.0</v>
      </c>
      <c r="AB135" s="8">
        <v>26.0</v>
      </c>
      <c r="AC135" s="15">
        <v>27.0</v>
      </c>
      <c r="AD135" s="16">
        <v>28.0</v>
      </c>
      <c r="AE135" s="10">
        <v>29.0</v>
      </c>
      <c r="AF135" s="16">
        <v>30.0</v>
      </c>
      <c r="AG135" s="97">
        <v>31.0</v>
      </c>
      <c r="AH135" s="21"/>
      <c r="AI135" s="22" t="s">
        <v>1</v>
      </c>
      <c r="AJ135" s="5"/>
      <c r="AK135" s="5"/>
      <c r="AL135" s="5"/>
      <c r="AM135" s="22" t="s">
        <v>2</v>
      </c>
      <c r="AN135" s="5"/>
      <c r="AO135" s="5"/>
      <c r="AP135" s="23"/>
      <c r="AQ135" s="24"/>
    </row>
    <row r="136" ht="15.75" customHeight="1">
      <c r="A136" s="25"/>
      <c r="B136" s="2"/>
      <c r="C136" s="26"/>
      <c r="D136" s="27"/>
      <c r="E136" s="28"/>
      <c r="F136" s="28"/>
      <c r="G136" s="28"/>
      <c r="H136" s="29"/>
      <c r="I136" s="30"/>
      <c r="J136" s="31"/>
      <c r="K136" s="27"/>
      <c r="L136" s="28"/>
      <c r="M136" s="28"/>
      <c r="N136" s="28"/>
      <c r="O136" s="29"/>
      <c r="P136" s="30"/>
      <c r="Q136" s="31"/>
      <c r="R136" s="30"/>
      <c r="S136" s="28"/>
      <c r="T136" s="28"/>
      <c r="U136" s="28"/>
      <c r="V136" s="29"/>
      <c r="W136" s="30"/>
      <c r="X136" s="31"/>
      <c r="Y136" s="27"/>
      <c r="Z136" s="28"/>
      <c r="AA136" s="28"/>
      <c r="AB136" s="28"/>
      <c r="AC136" s="29"/>
      <c r="AD136" s="30"/>
      <c r="AE136" s="29"/>
      <c r="AF136" s="30"/>
      <c r="AG136" s="98"/>
      <c r="AH136" s="21"/>
      <c r="AI136" s="25"/>
      <c r="AJ136" s="2"/>
      <c r="AK136" s="2"/>
      <c r="AL136" s="2"/>
      <c r="AM136" s="25"/>
      <c r="AN136" s="2"/>
      <c r="AO136" s="2"/>
      <c r="AP136" s="33"/>
      <c r="AQ136" s="24"/>
    </row>
    <row r="137" ht="15.75" customHeight="1">
      <c r="A137" s="34" t="s">
        <v>3</v>
      </c>
      <c r="B137" s="35" t="s">
        <v>4</v>
      </c>
      <c r="C137" s="36"/>
      <c r="D137" s="37"/>
      <c r="E137" s="106">
        <v>12.0</v>
      </c>
      <c r="F137" s="106">
        <v>12.0</v>
      </c>
      <c r="G137" s="106">
        <v>12.0</v>
      </c>
      <c r="H137" s="37"/>
      <c r="I137" s="37"/>
      <c r="J137" s="37"/>
      <c r="K137" s="37"/>
      <c r="L137" s="37"/>
      <c r="M137" s="106">
        <v>12.0</v>
      </c>
      <c r="N137" s="106">
        <v>12.0</v>
      </c>
      <c r="O137" s="106">
        <v>12.0</v>
      </c>
      <c r="P137" s="37"/>
      <c r="Q137" s="106">
        <v>12.0</v>
      </c>
      <c r="R137" s="106">
        <v>12.0</v>
      </c>
      <c r="S137" s="106">
        <v>12.0</v>
      </c>
      <c r="T137" s="37"/>
      <c r="U137" s="106">
        <v>12.0</v>
      </c>
      <c r="V137" s="106">
        <v>12.0</v>
      </c>
      <c r="W137" s="106">
        <v>12.0</v>
      </c>
      <c r="X137" s="37"/>
      <c r="Y137" s="106">
        <v>12.0</v>
      </c>
      <c r="Z137" s="106">
        <v>12.0</v>
      </c>
      <c r="AA137" s="106"/>
      <c r="AB137" s="37"/>
      <c r="AC137" s="37"/>
      <c r="AD137" s="37"/>
      <c r="AE137" s="37"/>
      <c r="AF137" s="113"/>
      <c r="AG137" s="39"/>
      <c r="AH137" s="40"/>
      <c r="AI137" s="39">
        <f t="shared" ref="AI137:AI153" si="8">SUM(C137:AG137)</f>
        <v>168</v>
      </c>
      <c r="AJ137" s="41"/>
      <c r="AK137" s="41"/>
      <c r="AL137" s="42"/>
      <c r="AM137" s="43">
        <f t="array" ref="AM137:AP137">AI137:AL137/4</f>
        <v>42</v>
      </c>
      <c r="AN137" s="44"/>
      <c r="AO137" s="44"/>
      <c r="AP137" s="45"/>
      <c r="AQ137" s="46"/>
    </row>
    <row r="138" ht="15.75" customHeight="1">
      <c r="A138" s="47"/>
      <c r="B138" s="48" t="s">
        <v>5</v>
      </c>
      <c r="C138" s="43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  <c r="AC138" s="49"/>
      <c r="AD138" s="49"/>
      <c r="AE138" s="49"/>
      <c r="AF138" s="94"/>
      <c r="AG138" s="50"/>
      <c r="AH138" s="40"/>
      <c r="AI138" s="39">
        <f t="shared" si="8"/>
        <v>0</v>
      </c>
      <c r="AJ138" s="41"/>
      <c r="AK138" s="41"/>
      <c r="AL138" s="42"/>
      <c r="AM138" s="43">
        <f t="array" ref="AM138:AP138">AI138:AL138/4</f>
        <v>0</v>
      </c>
      <c r="AN138" s="44"/>
      <c r="AO138" s="44"/>
      <c r="AP138" s="45"/>
      <c r="AQ138" s="46"/>
    </row>
    <row r="139" ht="15.75" customHeight="1">
      <c r="A139" s="47"/>
      <c r="B139" s="48" t="s">
        <v>6</v>
      </c>
      <c r="C139" s="43"/>
      <c r="D139" s="99">
        <v>12.0</v>
      </c>
      <c r="E139" s="99">
        <v>12.0</v>
      </c>
      <c r="F139" s="99"/>
      <c r="G139" s="99">
        <v>12.0</v>
      </c>
      <c r="H139" s="49"/>
      <c r="I139" s="49"/>
      <c r="J139" s="49"/>
      <c r="K139" s="49"/>
      <c r="L139" s="99">
        <v>12.0</v>
      </c>
      <c r="M139" s="99">
        <v>12.0</v>
      </c>
      <c r="N139" s="99"/>
      <c r="O139" s="99">
        <v>12.0</v>
      </c>
      <c r="P139" s="99">
        <v>12.0</v>
      </c>
      <c r="Q139" s="99">
        <v>12.0</v>
      </c>
      <c r="R139" s="99"/>
      <c r="S139" s="99">
        <v>12.0</v>
      </c>
      <c r="T139" s="99">
        <v>12.0</v>
      </c>
      <c r="U139" s="99"/>
      <c r="V139" s="99">
        <v>12.0</v>
      </c>
      <c r="W139" s="99">
        <v>12.0</v>
      </c>
      <c r="X139" s="49"/>
      <c r="Y139" s="99">
        <v>12.0</v>
      </c>
      <c r="Z139" s="99">
        <v>12.0</v>
      </c>
      <c r="AA139" s="49"/>
      <c r="AB139" s="49"/>
      <c r="AC139" s="49"/>
      <c r="AD139" s="49"/>
      <c r="AE139" s="49"/>
      <c r="AF139" s="94"/>
      <c r="AG139" s="115">
        <v>12.0</v>
      </c>
      <c r="AH139" s="40"/>
      <c r="AI139" s="39">
        <f t="shared" si="8"/>
        <v>180</v>
      </c>
      <c r="AJ139" s="41"/>
      <c r="AK139" s="41"/>
      <c r="AL139" s="42"/>
      <c r="AM139" s="43">
        <f t="array" ref="AM139:AP139">AI139:AL139/4</f>
        <v>45</v>
      </c>
      <c r="AN139" s="44"/>
      <c r="AO139" s="44"/>
      <c r="AP139" s="45"/>
      <c r="AQ139" s="46"/>
    </row>
    <row r="140" ht="15.75" customHeight="1">
      <c r="A140" s="47"/>
      <c r="B140" s="48" t="s">
        <v>7</v>
      </c>
      <c r="C140" s="43"/>
      <c r="D140" s="99">
        <v>12.0</v>
      </c>
      <c r="E140" s="99">
        <v>12.0</v>
      </c>
      <c r="F140" s="99">
        <v>12.0</v>
      </c>
      <c r="G140" s="99"/>
      <c r="H140" s="49"/>
      <c r="I140" s="49"/>
      <c r="J140" s="49"/>
      <c r="K140" s="49"/>
      <c r="L140" s="99">
        <v>12.0</v>
      </c>
      <c r="M140" s="99">
        <v>12.0</v>
      </c>
      <c r="N140" s="99">
        <v>12.0</v>
      </c>
      <c r="O140" s="99"/>
      <c r="P140" s="99">
        <v>12.0</v>
      </c>
      <c r="Q140" s="99">
        <v>12.0</v>
      </c>
      <c r="R140" s="99">
        <v>12.0</v>
      </c>
      <c r="S140" s="99"/>
      <c r="T140" s="99">
        <v>12.0</v>
      </c>
      <c r="U140" s="99">
        <v>12.0</v>
      </c>
      <c r="V140" s="99">
        <v>12.0</v>
      </c>
      <c r="W140" s="99"/>
      <c r="X140" s="99">
        <v>12.0</v>
      </c>
      <c r="Y140" s="99">
        <v>12.0</v>
      </c>
      <c r="Z140" s="99">
        <v>12.0</v>
      </c>
      <c r="AA140" s="49"/>
      <c r="AB140" s="49"/>
      <c r="AC140" s="49"/>
      <c r="AD140" s="49"/>
      <c r="AE140" s="49"/>
      <c r="AF140" s="49"/>
      <c r="AG140" s="115">
        <v>12.0</v>
      </c>
      <c r="AH140" s="40"/>
      <c r="AI140" s="39">
        <f t="shared" si="8"/>
        <v>192</v>
      </c>
      <c r="AJ140" s="41"/>
      <c r="AK140" s="41"/>
      <c r="AL140" s="42"/>
      <c r="AM140" s="43">
        <f t="array" ref="AM140:AP140">AI140:AL140/4</f>
        <v>48</v>
      </c>
      <c r="AN140" s="44"/>
      <c r="AO140" s="44"/>
      <c r="AP140" s="45"/>
      <c r="AQ140" s="46"/>
    </row>
    <row r="141" ht="15.75" customHeight="1">
      <c r="A141" s="47"/>
      <c r="B141" s="114" t="s">
        <v>25</v>
      </c>
      <c r="C141" s="52"/>
      <c r="D141" s="53"/>
      <c r="E141" s="53"/>
      <c r="F141" s="101">
        <v>12.0</v>
      </c>
      <c r="G141" s="101">
        <v>12.0</v>
      </c>
      <c r="H141" s="53"/>
      <c r="I141" s="53"/>
      <c r="J141" s="53"/>
      <c r="K141" s="53"/>
      <c r="L141" s="101"/>
      <c r="M141" s="101"/>
      <c r="N141" s="101">
        <v>12.0</v>
      </c>
      <c r="O141" s="101">
        <v>12.0</v>
      </c>
      <c r="P141" s="101"/>
      <c r="Q141" s="101"/>
      <c r="R141" s="101">
        <v>12.0</v>
      </c>
      <c r="S141" s="101">
        <v>12.0</v>
      </c>
      <c r="T141" s="101"/>
      <c r="U141" s="101">
        <v>12.0</v>
      </c>
      <c r="V141" s="101"/>
      <c r="W141" s="101">
        <v>12.0</v>
      </c>
      <c r="X141" s="101">
        <v>12.0</v>
      </c>
      <c r="Y141" s="101"/>
      <c r="Z141" s="53"/>
      <c r="AA141" s="53"/>
      <c r="AB141" s="53"/>
      <c r="AC141" s="53"/>
      <c r="AD141" s="53"/>
      <c r="AE141" s="53"/>
      <c r="AF141" s="53"/>
      <c r="AG141" s="55"/>
      <c r="AH141" s="40"/>
      <c r="AI141" s="39">
        <f t="shared" si="8"/>
        <v>108</v>
      </c>
      <c r="AJ141" s="41"/>
      <c r="AK141" s="41"/>
      <c r="AL141" s="42"/>
      <c r="AM141" s="43">
        <f t="array" ref="AM141:AP141">AI141:AL141/4</f>
        <v>27</v>
      </c>
      <c r="AN141" s="44"/>
      <c r="AO141" s="44"/>
      <c r="AP141" s="45"/>
      <c r="AQ141" s="46"/>
    </row>
    <row r="142" ht="15.75" customHeight="1">
      <c r="A142" s="47"/>
      <c r="B142" s="48"/>
      <c r="C142" s="52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5"/>
      <c r="AH142" s="40"/>
      <c r="AI142" s="39">
        <f t="shared" si="8"/>
        <v>0</v>
      </c>
      <c r="AJ142" s="41"/>
      <c r="AK142" s="41"/>
      <c r="AL142" s="42"/>
      <c r="AM142" s="43">
        <f t="array" ref="AM142:AP142">AI142:AL142/4</f>
        <v>0</v>
      </c>
      <c r="AN142" s="44"/>
      <c r="AO142" s="44"/>
      <c r="AP142" s="45"/>
      <c r="AQ142" s="46"/>
    </row>
    <row r="143" ht="15.75" customHeight="1">
      <c r="A143" s="47"/>
      <c r="B143" s="48"/>
      <c r="C143" s="52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5"/>
      <c r="AH143" s="40"/>
      <c r="AI143" s="39">
        <f t="shared" si="8"/>
        <v>0</v>
      </c>
      <c r="AJ143" s="41"/>
      <c r="AK143" s="41"/>
      <c r="AL143" s="42"/>
      <c r="AM143" s="43">
        <f t="array" ref="AM143:AP143">AI143:AL143/4</f>
        <v>0</v>
      </c>
      <c r="AN143" s="44"/>
      <c r="AO143" s="44"/>
      <c r="AP143" s="45"/>
      <c r="AQ143" s="46"/>
    </row>
    <row r="144" ht="15.75" customHeight="1">
      <c r="A144" s="30"/>
      <c r="B144" s="48"/>
      <c r="C144" s="52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5"/>
      <c r="AH144" s="40"/>
      <c r="AI144" s="55">
        <f t="shared" si="8"/>
        <v>0</v>
      </c>
      <c r="AJ144" s="56"/>
      <c r="AK144" s="56"/>
      <c r="AL144" s="57"/>
      <c r="AM144" s="52">
        <f t="array" ref="AM144:AP144">AI144:AL144/4</f>
        <v>0</v>
      </c>
      <c r="AN144" s="56"/>
      <c r="AO144" s="56"/>
      <c r="AP144" s="57"/>
      <c r="AQ144" s="46"/>
    </row>
    <row r="145" ht="15.75" customHeight="1">
      <c r="A145" s="58" t="s">
        <v>8</v>
      </c>
      <c r="B145" s="59" t="s">
        <v>9</v>
      </c>
      <c r="C145" s="102">
        <v>24.0</v>
      </c>
      <c r="D145" s="100">
        <v>12.0</v>
      </c>
      <c r="E145" s="61"/>
      <c r="F145" s="61"/>
      <c r="G145" s="61"/>
      <c r="H145" s="100">
        <v>24.0</v>
      </c>
      <c r="I145" s="100">
        <v>24.0</v>
      </c>
      <c r="J145" s="100">
        <v>24.0</v>
      </c>
      <c r="K145" s="100">
        <v>24.0</v>
      </c>
      <c r="L145" s="100">
        <v>12.0</v>
      </c>
      <c r="M145" s="61"/>
      <c r="N145" s="61"/>
      <c r="O145" s="61"/>
      <c r="P145" s="61"/>
      <c r="Q145" s="62"/>
      <c r="R145" s="63"/>
      <c r="S145" s="61"/>
      <c r="T145" s="61"/>
      <c r="U145" s="61"/>
      <c r="V145" s="61"/>
      <c r="W145" s="61"/>
      <c r="X145" s="61"/>
      <c r="Y145" s="61"/>
      <c r="Z145" s="61"/>
      <c r="AA145" s="116">
        <v>24.0</v>
      </c>
      <c r="AB145" s="116">
        <v>24.0</v>
      </c>
      <c r="AC145" s="116">
        <v>24.0</v>
      </c>
      <c r="AD145" s="116">
        <v>24.0</v>
      </c>
      <c r="AE145" s="116">
        <v>24.0</v>
      </c>
      <c r="AF145" s="116">
        <v>24.0</v>
      </c>
      <c r="AG145" s="116">
        <v>12.0</v>
      </c>
      <c r="AH145" s="40"/>
      <c r="AI145" s="64">
        <f t="shared" si="8"/>
        <v>300</v>
      </c>
      <c r="AJ145" s="65"/>
      <c r="AK145" s="65"/>
      <c r="AL145" s="66"/>
      <c r="AM145" s="36">
        <f t="array" ref="AM145:AP145">AI145:AL145/4</f>
        <v>75</v>
      </c>
      <c r="AN145" s="65"/>
      <c r="AO145" s="65"/>
      <c r="AP145" s="66"/>
      <c r="AQ145" s="46"/>
    </row>
    <row r="146" ht="15.75" customHeight="1">
      <c r="A146" s="67"/>
      <c r="B146" s="68" t="s">
        <v>18</v>
      </c>
      <c r="C146" s="109">
        <v>24.0</v>
      </c>
      <c r="D146" s="101">
        <v>12.0</v>
      </c>
      <c r="E146" s="53"/>
      <c r="F146" s="53"/>
      <c r="G146" s="53"/>
      <c r="H146" s="101">
        <v>24.0</v>
      </c>
      <c r="I146" s="101">
        <v>24.0</v>
      </c>
      <c r="J146" s="101">
        <v>24.0</v>
      </c>
      <c r="K146" s="101">
        <v>24.0</v>
      </c>
      <c r="L146" s="101">
        <v>12.0</v>
      </c>
      <c r="M146" s="53"/>
      <c r="N146" s="53"/>
      <c r="O146" s="53"/>
      <c r="P146" s="53"/>
      <c r="Q146" s="88"/>
      <c r="R146" s="89"/>
      <c r="S146" s="53"/>
      <c r="T146" s="53"/>
      <c r="U146" s="53"/>
      <c r="V146" s="53"/>
      <c r="W146" s="53"/>
      <c r="X146" s="53"/>
      <c r="Y146" s="53"/>
      <c r="Z146" s="53"/>
      <c r="AA146" s="117">
        <v>24.0</v>
      </c>
      <c r="AB146" s="117">
        <v>24.0</v>
      </c>
      <c r="AC146" s="117">
        <v>24.0</v>
      </c>
      <c r="AD146" s="117">
        <v>24.0</v>
      </c>
      <c r="AE146" s="117">
        <v>24.0</v>
      </c>
      <c r="AF146" s="117">
        <v>24.0</v>
      </c>
      <c r="AG146" s="117">
        <v>12.0</v>
      </c>
      <c r="AH146" s="40"/>
      <c r="AI146" s="39">
        <f t="shared" si="8"/>
        <v>300</v>
      </c>
      <c r="AJ146" s="41"/>
      <c r="AK146" s="41"/>
      <c r="AL146" s="42"/>
      <c r="AM146" s="43">
        <f t="array" ref="AM146:AP146">AI146:AL146/4</f>
        <v>75</v>
      </c>
      <c r="AN146" s="44"/>
      <c r="AO146" s="44"/>
      <c r="AP146" s="45"/>
      <c r="AQ146" s="46"/>
    </row>
    <row r="147" ht="15.75" customHeight="1">
      <c r="A147" s="32"/>
      <c r="B147" s="68"/>
      <c r="C147" s="52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5"/>
      <c r="AH147" s="40"/>
      <c r="AI147" s="55">
        <f t="shared" si="8"/>
        <v>0</v>
      </c>
      <c r="AJ147" s="56"/>
      <c r="AK147" s="56"/>
      <c r="AL147" s="57"/>
      <c r="AM147" s="40">
        <f t="array" ref="AM147:AP147">AI147:AL147/4</f>
        <v>0</v>
      </c>
      <c r="AP147" s="74"/>
      <c r="AQ147" s="46"/>
    </row>
    <row r="148" ht="15.75" customHeight="1">
      <c r="A148" s="75" t="s">
        <v>11</v>
      </c>
      <c r="B148" s="76" t="s">
        <v>12</v>
      </c>
      <c r="C148" s="36"/>
      <c r="D148" s="61"/>
      <c r="E148" s="61"/>
      <c r="F148" s="61"/>
      <c r="G148" s="61"/>
      <c r="H148" s="61"/>
      <c r="I148" s="61"/>
      <c r="J148" s="61"/>
      <c r="K148" s="61"/>
      <c r="L148" s="61"/>
      <c r="M148" s="100"/>
      <c r="N148" s="61"/>
      <c r="O148" s="61"/>
      <c r="P148" s="100">
        <v>12.0</v>
      </c>
      <c r="Q148" s="61"/>
      <c r="R148" s="100">
        <v>9.0</v>
      </c>
      <c r="S148" s="61"/>
      <c r="T148" s="100">
        <v>12.0</v>
      </c>
      <c r="U148" s="61"/>
      <c r="V148" s="100">
        <v>9.0</v>
      </c>
      <c r="W148" s="61"/>
      <c r="X148" s="100">
        <v>12.0</v>
      </c>
      <c r="Y148" s="61"/>
      <c r="Z148" s="61"/>
      <c r="AA148" s="61"/>
      <c r="AB148" s="61"/>
      <c r="AC148" s="61"/>
      <c r="AD148" s="61"/>
      <c r="AE148" s="61"/>
      <c r="AF148" s="61"/>
      <c r="AG148" s="64"/>
      <c r="AH148" s="40"/>
      <c r="AI148" s="64">
        <f t="shared" si="8"/>
        <v>54</v>
      </c>
      <c r="AJ148" s="65"/>
      <c r="AK148" s="65"/>
      <c r="AL148" s="66"/>
      <c r="AM148" s="36">
        <f t="array" ref="AM148:AP148">AI148:AL148/4</f>
        <v>13.5</v>
      </c>
      <c r="AN148" s="65"/>
      <c r="AO148" s="65"/>
      <c r="AP148" s="66"/>
      <c r="AQ148" s="46"/>
    </row>
    <row r="149" ht="15.75" customHeight="1">
      <c r="A149" s="47"/>
      <c r="B149" s="78" t="s">
        <v>13</v>
      </c>
      <c r="C149" s="43"/>
      <c r="D149" s="49"/>
      <c r="E149" s="99">
        <v>9.0</v>
      </c>
      <c r="F149" s="99">
        <v>9.0</v>
      </c>
      <c r="G149" s="99">
        <v>9.0</v>
      </c>
      <c r="H149" s="49"/>
      <c r="I149" s="49"/>
      <c r="J149" s="49"/>
      <c r="K149" s="49"/>
      <c r="L149" s="49"/>
      <c r="M149" s="99">
        <v>9.0</v>
      </c>
      <c r="N149" s="99">
        <v>9.0</v>
      </c>
      <c r="O149" s="99">
        <v>9.0</v>
      </c>
      <c r="P149" s="99">
        <v>9.0</v>
      </c>
      <c r="Q149" s="99">
        <v>9.0</v>
      </c>
      <c r="R149" s="99"/>
      <c r="S149" s="99">
        <v>9.0</v>
      </c>
      <c r="T149" s="99">
        <v>9.0</v>
      </c>
      <c r="U149" s="99">
        <v>9.0</v>
      </c>
      <c r="V149" s="99"/>
      <c r="W149" s="99">
        <v>9.0</v>
      </c>
      <c r="X149" s="99">
        <v>9.0</v>
      </c>
      <c r="Y149" s="99">
        <v>9.0</v>
      </c>
      <c r="Z149" s="99">
        <v>9.0</v>
      </c>
      <c r="AA149" s="49"/>
      <c r="AB149" s="49"/>
      <c r="AC149" s="49"/>
      <c r="AD149" s="49"/>
      <c r="AE149" s="49"/>
      <c r="AF149" s="49"/>
      <c r="AG149" s="50"/>
      <c r="AH149" s="40"/>
      <c r="AI149" s="39">
        <f t="shared" si="8"/>
        <v>135</v>
      </c>
      <c r="AJ149" s="41"/>
      <c r="AK149" s="41"/>
      <c r="AL149" s="42"/>
      <c r="AM149" s="43">
        <f t="array" ref="AM149:AP149">AI149:AL149/4</f>
        <v>33.75</v>
      </c>
      <c r="AN149" s="44"/>
      <c r="AO149" s="44"/>
      <c r="AP149" s="45"/>
      <c r="AQ149" s="46"/>
    </row>
    <row r="150" ht="15.75" customHeight="1">
      <c r="A150" s="47"/>
      <c r="B150" s="78" t="s">
        <v>14</v>
      </c>
      <c r="C150" s="43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  <c r="AB150" s="49"/>
      <c r="AC150" s="49"/>
      <c r="AD150" s="49"/>
      <c r="AE150" s="49"/>
      <c r="AF150" s="49"/>
      <c r="AG150" s="50"/>
      <c r="AH150" s="40"/>
      <c r="AI150" s="39">
        <f t="shared" si="8"/>
        <v>0</v>
      </c>
      <c r="AJ150" s="41"/>
      <c r="AK150" s="41"/>
      <c r="AL150" s="42"/>
      <c r="AM150" s="43">
        <f t="array" ref="AM150:AP150">AI150:AL150/4</f>
        <v>0</v>
      </c>
      <c r="AN150" s="44"/>
      <c r="AO150" s="44"/>
      <c r="AP150" s="45"/>
      <c r="AQ150" s="46"/>
    </row>
    <row r="151" ht="15.75" customHeight="1">
      <c r="A151" s="47"/>
      <c r="B151" s="78"/>
      <c r="C151" s="43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  <c r="AC151" s="49"/>
      <c r="AD151" s="49"/>
      <c r="AE151" s="49"/>
      <c r="AF151" s="94"/>
      <c r="AG151" s="50"/>
      <c r="AH151" s="40"/>
      <c r="AI151" s="39">
        <f t="shared" si="8"/>
        <v>0</v>
      </c>
      <c r="AJ151" s="41"/>
      <c r="AK151" s="41"/>
      <c r="AL151" s="42"/>
      <c r="AM151" s="43">
        <f t="array" ref="AM151:AP151">AI151:AL151/4</f>
        <v>0</v>
      </c>
      <c r="AN151" s="44"/>
      <c r="AO151" s="44"/>
      <c r="AP151" s="45"/>
      <c r="AQ151" s="46"/>
    </row>
    <row r="152" ht="15.75" customHeight="1">
      <c r="A152" s="47"/>
      <c r="B152" s="78"/>
      <c r="C152" s="43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  <c r="AC152" s="49"/>
      <c r="AD152" s="49"/>
      <c r="AE152" s="49"/>
      <c r="AF152" s="94"/>
      <c r="AG152" s="50"/>
      <c r="AH152" s="40"/>
      <c r="AI152" s="39">
        <f t="shared" si="8"/>
        <v>0</v>
      </c>
      <c r="AJ152" s="41"/>
      <c r="AK152" s="41"/>
      <c r="AL152" s="42"/>
      <c r="AM152" s="43">
        <f t="array" ref="AM152:AP152">AI152:AL152/4</f>
        <v>0</v>
      </c>
      <c r="AN152" s="44"/>
      <c r="AO152" s="44"/>
      <c r="AP152" s="45"/>
      <c r="AQ152" s="46"/>
    </row>
    <row r="153" ht="15.75" customHeight="1">
      <c r="A153" s="30"/>
      <c r="B153" s="79" t="s">
        <v>15</v>
      </c>
      <c r="C153" s="69"/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  <c r="AA153" s="80"/>
      <c r="AB153" s="80"/>
      <c r="AC153" s="80"/>
      <c r="AD153" s="80"/>
      <c r="AE153" s="80"/>
      <c r="AF153" s="80"/>
      <c r="AG153" s="55"/>
      <c r="AH153" s="40"/>
      <c r="AI153" s="55">
        <f t="shared" si="8"/>
        <v>0</v>
      </c>
      <c r="AJ153" s="56"/>
      <c r="AK153" s="56"/>
      <c r="AL153" s="57"/>
      <c r="AM153" s="43">
        <f t="array" ref="AM153:AP153">AI153:AL153/4</f>
        <v>0</v>
      </c>
      <c r="AN153" s="44"/>
      <c r="AO153" s="44"/>
      <c r="AP153" s="45"/>
      <c r="AQ153" s="46"/>
    </row>
    <row r="154" ht="15.75" customHeight="1">
      <c r="A154" s="4" t="s">
        <v>27</v>
      </c>
      <c r="B154" s="5"/>
      <c r="C154" s="6">
        <v>1.0</v>
      </c>
      <c r="D154" s="13">
        <v>2.0</v>
      </c>
      <c r="E154" s="14">
        <v>3.0</v>
      </c>
      <c r="F154" s="9">
        <v>4.0</v>
      </c>
      <c r="G154" s="9">
        <v>5.0</v>
      </c>
      <c r="H154" s="10">
        <v>6.0</v>
      </c>
      <c r="I154" s="11">
        <v>7.0</v>
      </c>
      <c r="J154" s="12">
        <v>8.0</v>
      </c>
      <c r="K154" s="13">
        <v>9.0</v>
      </c>
      <c r="L154" s="14">
        <v>10.0</v>
      </c>
      <c r="M154" s="9">
        <v>11.0</v>
      </c>
      <c r="N154" s="9">
        <v>12.0</v>
      </c>
      <c r="O154" s="10">
        <v>13.0</v>
      </c>
      <c r="P154" s="11">
        <v>14.0</v>
      </c>
      <c r="Q154" s="12">
        <v>15.0</v>
      </c>
      <c r="R154" s="11">
        <v>16.0</v>
      </c>
      <c r="S154" s="9">
        <v>17.0</v>
      </c>
      <c r="T154" s="9">
        <v>18.0</v>
      </c>
      <c r="U154" s="9">
        <v>19.0</v>
      </c>
      <c r="V154" s="15">
        <v>20.0</v>
      </c>
      <c r="W154" s="16">
        <v>21.0</v>
      </c>
      <c r="X154" s="17">
        <v>22.0</v>
      </c>
      <c r="Y154" s="7">
        <v>23.0</v>
      </c>
      <c r="Z154" s="8">
        <v>24.0</v>
      </c>
      <c r="AA154" s="8">
        <v>25.0</v>
      </c>
      <c r="AB154" s="8">
        <v>26.0</v>
      </c>
      <c r="AC154" s="15">
        <v>27.0</v>
      </c>
      <c r="AD154" s="16">
        <v>28.0</v>
      </c>
      <c r="AE154" s="10">
        <v>29.0</v>
      </c>
      <c r="AF154" s="6">
        <v>30.0</v>
      </c>
      <c r="AG154" s="105"/>
      <c r="AH154" s="40"/>
      <c r="AI154" s="22" t="s">
        <v>1</v>
      </c>
      <c r="AJ154" s="5"/>
      <c r="AK154" s="5"/>
      <c r="AL154" s="5"/>
      <c r="AM154" s="22" t="s">
        <v>2</v>
      </c>
      <c r="AN154" s="5"/>
      <c r="AO154" s="5"/>
      <c r="AP154" s="23"/>
      <c r="AQ154" s="46"/>
    </row>
    <row r="155" ht="15.75" customHeight="1">
      <c r="A155" s="25"/>
      <c r="B155" s="2"/>
      <c r="C155" s="26"/>
      <c r="D155" s="27"/>
      <c r="E155" s="28"/>
      <c r="F155" s="28"/>
      <c r="G155" s="28"/>
      <c r="H155" s="29"/>
      <c r="I155" s="30"/>
      <c r="J155" s="31"/>
      <c r="K155" s="27"/>
      <c r="L155" s="28"/>
      <c r="M155" s="28"/>
      <c r="N155" s="28"/>
      <c r="O155" s="29"/>
      <c r="P155" s="30"/>
      <c r="Q155" s="31"/>
      <c r="R155" s="30"/>
      <c r="S155" s="28"/>
      <c r="T155" s="28"/>
      <c r="U155" s="28"/>
      <c r="V155" s="29"/>
      <c r="W155" s="30"/>
      <c r="X155" s="31"/>
      <c r="Y155" s="27"/>
      <c r="Z155" s="28"/>
      <c r="AA155" s="28"/>
      <c r="AB155" s="28"/>
      <c r="AC155" s="29"/>
      <c r="AD155" s="30"/>
      <c r="AE155" s="29"/>
      <c r="AF155" s="26"/>
      <c r="AH155" s="40"/>
      <c r="AI155" s="25"/>
      <c r="AJ155" s="2"/>
      <c r="AK155" s="2"/>
      <c r="AL155" s="2"/>
      <c r="AM155" s="25"/>
      <c r="AN155" s="2"/>
      <c r="AO155" s="2"/>
      <c r="AP155" s="33"/>
      <c r="AQ155" s="46"/>
    </row>
    <row r="156" ht="15.75" customHeight="1">
      <c r="A156" s="34" t="s">
        <v>3</v>
      </c>
      <c r="B156" s="35" t="s">
        <v>4</v>
      </c>
      <c r="C156" s="86">
        <v>12.0</v>
      </c>
      <c r="D156" s="87">
        <v>12.0</v>
      </c>
      <c r="E156" s="87">
        <v>12.0</v>
      </c>
      <c r="F156" s="118"/>
      <c r="G156" s="86">
        <v>12.0</v>
      </c>
      <c r="H156" s="87">
        <v>12.0</v>
      </c>
      <c r="I156" s="87"/>
      <c r="J156" s="86">
        <v>12.0</v>
      </c>
      <c r="K156" s="86">
        <v>12.0</v>
      </c>
      <c r="L156" s="87"/>
      <c r="M156" s="87">
        <v>12.0</v>
      </c>
      <c r="N156" s="87">
        <v>12.0</v>
      </c>
      <c r="O156" s="119">
        <v>12.0</v>
      </c>
      <c r="P156" s="120"/>
      <c r="Q156" s="87"/>
      <c r="R156" s="118"/>
      <c r="S156" s="86"/>
      <c r="T156" s="87"/>
      <c r="U156" s="87"/>
      <c r="V156" s="119">
        <v>12.0</v>
      </c>
      <c r="W156" s="87">
        <v>12.0</v>
      </c>
      <c r="X156" s="87"/>
      <c r="Y156" s="86">
        <v>12.0</v>
      </c>
      <c r="Z156" s="86">
        <v>12.0</v>
      </c>
      <c r="AA156" s="120"/>
      <c r="AB156" s="120">
        <v>12.0</v>
      </c>
      <c r="AC156" s="119">
        <v>12.0</v>
      </c>
      <c r="AD156" s="120"/>
      <c r="AE156" s="87"/>
      <c r="AF156" s="87"/>
      <c r="AH156" s="40"/>
      <c r="AI156" s="39">
        <f t="shared" ref="AI156:AI172" si="9">SUM(C156:AG156)</f>
        <v>192</v>
      </c>
      <c r="AJ156" s="41"/>
      <c r="AK156" s="41"/>
      <c r="AL156" s="42"/>
      <c r="AM156" s="43">
        <f t="array" ref="AM156:AP156">AI156:AL156/4</f>
        <v>48</v>
      </c>
      <c r="AN156" s="44"/>
      <c r="AO156" s="44"/>
      <c r="AP156" s="45"/>
      <c r="AQ156" s="46"/>
    </row>
    <row r="157" ht="15.75" customHeight="1">
      <c r="A157" s="47"/>
      <c r="B157" s="48" t="s">
        <v>5</v>
      </c>
      <c r="C157" s="43"/>
      <c r="D157" s="49"/>
      <c r="E157" s="49"/>
      <c r="F157" s="49"/>
      <c r="G157" s="49"/>
      <c r="H157" s="49"/>
      <c r="I157" s="99"/>
      <c r="J157" s="99"/>
      <c r="K157" s="9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99"/>
      <c r="AA157" s="49"/>
      <c r="AB157" s="49"/>
      <c r="AC157" s="49"/>
      <c r="AD157" s="49"/>
      <c r="AE157" s="49"/>
      <c r="AF157" s="49"/>
      <c r="AH157" s="40"/>
      <c r="AI157" s="39">
        <f t="shared" si="9"/>
        <v>0</v>
      </c>
      <c r="AJ157" s="41"/>
      <c r="AK157" s="41"/>
      <c r="AL157" s="42"/>
      <c r="AM157" s="43">
        <f t="array" ref="AM157:AP157">AI157:AL157/4</f>
        <v>0</v>
      </c>
      <c r="AN157" s="44"/>
      <c r="AO157" s="44"/>
      <c r="AP157" s="45"/>
      <c r="AQ157" s="46"/>
    </row>
    <row r="158" ht="15.75" customHeight="1">
      <c r="A158" s="47"/>
      <c r="B158" s="48" t="s">
        <v>6</v>
      </c>
      <c r="C158" s="108">
        <v>12.0</v>
      </c>
      <c r="D158" s="49"/>
      <c r="E158" s="99">
        <v>12.0</v>
      </c>
      <c r="F158" s="99">
        <v>12.0</v>
      </c>
      <c r="G158" s="99"/>
      <c r="H158" s="49"/>
      <c r="I158" s="99">
        <v>12.0</v>
      </c>
      <c r="J158" s="99">
        <v>12.0</v>
      </c>
      <c r="K158" s="49"/>
      <c r="L158" s="99">
        <v>12.0</v>
      </c>
      <c r="M158" s="99">
        <v>12.0</v>
      </c>
      <c r="N158" s="99"/>
      <c r="O158" s="99">
        <v>12.0</v>
      </c>
      <c r="P158" s="99">
        <v>12.0</v>
      </c>
      <c r="Q158" s="49"/>
      <c r="R158" s="49"/>
      <c r="S158" s="49"/>
      <c r="T158" s="49"/>
      <c r="U158" s="99">
        <v>12.0</v>
      </c>
      <c r="V158" s="99"/>
      <c r="W158" s="99">
        <v>12.0</v>
      </c>
      <c r="X158" s="99">
        <v>12.0</v>
      </c>
      <c r="Y158" s="49"/>
      <c r="Z158" s="99">
        <v>12.0</v>
      </c>
      <c r="AA158" s="99">
        <v>12.0</v>
      </c>
      <c r="AB158" s="99"/>
      <c r="AC158" s="99">
        <v>12.0</v>
      </c>
      <c r="AD158" s="99">
        <v>6.0</v>
      </c>
      <c r="AE158" s="99"/>
      <c r="AF158" s="99"/>
      <c r="AH158" s="40"/>
      <c r="AI158" s="39">
        <f t="shared" si="9"/>
        <v>186</v>
      </c>
      <c r="AJ158" s="41"/>
      <c r="AK158" s="41"/>
      <c r="AL158" s="42"/>
      <c r="AM158" s="43">
        <f t="array" ref="AM158:AP158">AI158:AL158/4</f>
        <v>46.5</v>
      </c>
      <c r="AN158" s="44"/>
      <c r="AO158" s="44"/>
      <c r="AP158" s="45"/>
      <c r="AQ158" s="46"/>
    </row>
    <row r="159" ht="15.75" customHeight="1">
      <c r="A159" s="47"/>
      <c r="B159" s="48" t="s">
        <v>7</v>
      </c>
      <c r="C159" s="108">
        <v>12.0</v>
      </c>
      <c r="D159" s="99">
        <v>12.0</v>
      </c>
      <c r="E159" s="49"/>
      <c r="F159" s="99">
        <v>12.0</v>
      </c>
      <c r="G159" s="99">
        <v>12.0</v>
      </c>
      <c r="H159" s="99">
        <v>12.0</v>
      </c>
      <c r="I159" s="49"/>
      <c r="J159" s="99">
        <v>12.0</v>
      </c>
      <c r="K159" s="99">
        <v>12.0</v>
      </c>
      <c r="L159" s="99"/>
      <c r="M159" s="49"/>
      <c r="N159" s="99">
        <v>12.0</v>
      </c>
      <c r="O159" s="99">
        <v>12.0</v>
      </c>
      <c r="P159" s="99">
        <v>12.0</v>
      </c>
      <c r="Q159" s="49"/>
      <c r="R159" s="49"/>
      <c r="S159" s="49"/>
      <c r="T159" s="49"/>
      <c r="U159" s="99"/>
      <c r="V159" s="99">
        <v>12.0</v>
      </c>
      <c r="W159" s="99">
        <v>12.0</v>
      </c>
      <c r="X159" s="99">
        <v>12.0</v>
      </c>
      <c r="Y159" s="99">
        <v>12.0</v>
      </c>
      <c r="Z159" s="99"/>
      <c r="AA159" s="99"/>
      <c r="AB159" s="99">
        <v>12.0</v>
      </c>
      <c r="AC159" s="99">
        <v>12.0</v>
      </c>
      <c r="AD159" s="99">
        <v>6.0</v>
      </c>
      <c r="AE159" s="99"/>
      <c r="AF159" s="49"/>
      <c r="AH159" s="40"/>
      <c r="AI159" s="39">
        <f t="shared" si="9"/>
        <v>198</v>
      </c>
      <c r="AJ159" s="41"/>
      <c r="AK159" s="41"/>
      <c r="AL159" s="42"/>
      <c r="AM159" s="43">
        <f t="array" ref="AM159:AP159">AI159:AL159/4</f>
        <v>49.5</v>
      </c>
      <c r="AN159" s="44"/>
      <c r="AO159" s="44"/>
      <c r="AP159" s="45"/>
      <c r="AQ159" s="46"/>
    </row>
    <row r="160" ht="15.75" customHeight="1">
      <c r="A160" s="47"/>
      <c r="B160" s="114" t="s">
        <v>25</v>
      </c>
      <c r="C160" s="109" t="s">
        <v>21</v>
      </c>
      <c r="D160" s="109" t="s">
        <v>21</v>
      </c>
      <c r="E160" s="109" t="s">
        <v>21</v>
      </c>
      <c r="F160" s="109" t="s">
        <v>21</v>
      </c>
      <c r="G160" s="109" t="s">
        <v>21</v>
      </c>
      <c r="H160" s="109" t="s">
        <v>21</v>
      </c>
      <c r="I160" s="49"/>
      <c r="J160" s="99" t="s">
        <v>28</v>
      </c>
      <c r="K160" s="99">
        <v>12.0</v>
      </c>
      <c r="L160" s="99">
        <v>12.0</v>
      </c>
      <c r="M160" s="99">
        <v>12.0</v>
      </c>
      <c r="N160" s="99">
        <v>12.0</v>
      </c>
      <c r="O160" s="99" t="s">
        <v>28</v>
      </c>
      <c r="P160" s="99" t="s">
        <v>28</v>
      </c>
      <c r="Q160" s="49"/>
      <c r="R160" s="49"/>
      <c r="S160" s="99" t="s">
        <v>28</v>
      </c>
      <c r="T160" s="99" t="s">
        <v>28</v>
      </c>
      <c r="U160" s="99">
        <v>12.0</v>
      </c>
      <c r="V160" s="99">
        <v>12.0</v>
      </c>
      <c r="W160" s="99" t="s">
        <v>28</v>
      </c>
      <c r="X160" s="99" t="s">
        <v>28</v>
      </c>
      <c r="Y160" s="99">
        <v>12.0</v>
      </c>
      <c r="Z160" s="99">
        <v>12.0</v>
      </c>
      <c r="AA160" s="99">
        <v>12.0</v>
      </c>
      <c r="AB160" s="99">
        <v>12.0</v>
      </c>
      <c r="AC160" s="99" t="s">
        <v>28</v>
      </c>
      <c r="AD160" s="99" t="s">
        <v>28</v>
      </c>
      <c r="AE160" s="49"/>
      <c r="AF160" s="99"/>
      <c r="AH160" s="40"/>
      <c r="AI160" s="39">
        <f t="shared" si="9"/>
        <v>120</v>
      </c>
      <c r="AJ160" s="41"/>
      <c r="AK160" s="41"/>
      <c r="AL160" s="42"/>
      <c r="AM160" s="43">
        <f t="array" ref="AM160:AP160">AI160:AL160/4</f>
        <v>30</v>
      </c>
      <c r="AN160" s="44"/>
      <c r="AO160" s="44"/>
      <c r="AP160" s="45"/>
      <c r="AQ160" s="46"/>
    </row>
    <row r="161" ht="15.75" customHeight="1">
      <c r="A161" s="47"/>
      <c r="B161" s="48"/>
      <c r="C161" s="52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101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H161" s="40"/>
      <c r="AI161" s="39">
        <f t="shared" si="9"/>
        <v>0</v>
      </c>
      <c r="AJ161" s="41"/>
      <c r="AK161" s="41"/>
      <c r="AL161" s="42"/>
      <c r="AM161" s="43">
        <f t="array" ref="AM161:AP161">AI161:AL161/4</f>
        <v>0</v>
      </c>
      <c r="AN161" s="44"/>
      <c r="AO161" s="44"/>
      <c r="AP161" s="45"/>
      <c r="AQ161" s="46"/>
    </row>
    <row r="162" ht="15.75" customHeight="1">
      <c r="A162" s="47"/>
      <c r="B162" s="48"/>
      <c r="C162" s="52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H162" s="40"/>
      <c r="AI162" s="39">
        <f t="shared" si="9"/>
        <v>0</v>
      </c>
      <c r="AJ162" s="41"/>
      <c r="AK162" s="41"/>
      <c r="AL162" s="42"/>
      <c r="AM162" s="43">
        <f t="array" ref="AM162:AP162">AI162:AL162/4</f>
        <v>0</v>
      </c>
      <c r="AN162" s="44"/>
      <c r="AO162" s="44"/>
      <c r="AP162" s="45"/>
      <c r="AQ162" s="46"/>
    </row>
    <row r="163" ht="15.75" customHeight="1">
      <c r="A163" s="30"/>
      <c r="B163" s="48"/>
      <c r="C163" s="52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H163" s="40"/>
      <c r="AI163" s="55">
        <f t="shared" si="9"/>
        <v>0</v>
      </c>
      <c r="AJ163" s="56"/>
      <c r="AK163" s="56"/>
      <c r="AL163" s="57"/>
      <c r="AM163" s="52">
        <f t="array" ref="AM163:AP163">AI163:AL163/4</f>
        <v>0</v>
      </c>
      <c r="AN163" s="56"/>
      <c r="AO163" s="56"/>
      <c r="AP163" s="57"/>
      <c r="AQ163" s="46"/>
    </row>
    <row r="164" ht="15.75" customHeight="1">
      <c r="A164" s="58" t="s">
        <v>8</v>
      </c>
      <c r="B164" s="59" t="s">
        <v>9</v>
      </c>
      <c r="C164" s="36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100">
        <v>24.0</v>
      </c>
      <c r="R164" s="100">
        <v>24.0</v>
      </c>
      <c r="S164" s="100">
        <v>24.0</v>
      </c>
      <c r="T164" s="100">
        <v>24.0</v>
      </c>
      <c r="U164" s="100">
        <v>12.0</v>
      </c>
      <c r="V164" s="61"/>
      <c r="W164" s="61"/>
      <c r="X164" s="61"/>
      <c r="Y164" s="61"/>
      <c r="Z164" s="61"/>
      <c r="AA164" s="61"/>
      <c r="AB164" s="61"/>
      <c r="AC164" s="61"/>
      <c r="AD164" s="61"/>
      <c r="AE164" s="100">
        <v>33.0</v>
      </c>
      <c r="AF164" s="100">
        <v>24.0</v>
      </c>
      <c r="AH164" s="40"/>
      <c r="AI164" s="64">
        <f t="shared" si="9"/>
        <v>165</v>
      </c>
      <c r="AJ164" s="65"/>
      <c r="AK164" s="65"/>
      <c r="AL164" s="66"/>
      <c r="AM164" s="36">
        <f t="array" ref="AM164:AP164">AI164:AL164/4</f>
        <v>41.25</v>
      </c>
      <c r="AN164" s="65"/>
      <c r="AO164" s="65"/>
      <c r="AP164" s="66"/>
      <c r="AQ164" s="46"/>
    </row>
    <row r="165" ht="15.75" customHeight="1">
      <c r="A165" s="67"/>
      <c r="B165" s="68" t="s">
        <v>18</v>
      </c>
      <c r="C165" s="52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101">
        <v>24.0</v>
      </c>
      <c r="R165" s="101">
        <v>24.0</v>
      </c>
      <c r="S165" s="101">
        <v>24.0</v>
      </c>
      <c r="T165" s="101">
        <v>24.0</v>
      </c>
      <c r="U165" s="101">
        <v>12.0</v>
      </c>
      <c r="V165" s="53"/>
      <c r="W165" s="53"/>
      <c r="X165" s="53"/>
      <c r="Y165" s="53"/>
      <c r="Z165" s="53"/>
      <c r="AA165" s="53"/>
      <c r="AB165" s="53"/>
      <c r="AC165" s="53"/>
      <c r="AD165" s="53"/>
      <c r="AE165" s="101">
        <v>33.0</v>
      </c>
      <c r="AF165" s="101">
        <v>24.0</v>
      </c>
      <c r="AH165" s="40"/>
      <c r="AI165" s="39">
        <f t="shared" si="9"/>
        <v>165</v>
      </c>
      <c r="AJ165" s="41"/>
      <c r="AK165" s="41"/>
      <c r="AL165" s="42"/>
      <c r="AM165" s="43">
        <f t="array" ref="AM165:AP165">AI165:AL165/4</f>
        <v>41.25</v>
      </c>
      <c r="AN165" s="44"/>
      <c r="AO165" s="44"/>
      <c r="AP165" s="45"/>
      <c r="AQ165" s="46"/>
    </row>
    <row r="166" ht="15.75" customHeight="1">
      <c r="A166" s="32"/>
      <c r="B166" s="68"/>
      <c r="C166" s="52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H166" s="40"/>
      <c r="AI166" s="55">
        <f t="shared" si="9"/>
        <v>0</v>
      </c>
      <c r="AJ166" s="56"/>
      <c r="AK166" s="56"/>
      <c r="AL166" s="57"/>
      <c r="AM166" s="40">
        <f t="array" ref="AM166:AP166">AI166:AL166/4</f>
        <v>0</v>
      </c>
      <c r="AP166" s="74"/>
      <c r="AQ166" s="46"/>
    </row>
    <row r="167" ht="15.75" customHeight="1">
      <c r="A167" s="75" t="s">
        <v>11</v>
      </c>
      <c r="B167" s="76" t="s">
        <v>12</v>
      </c>
      <c r="C167" s="102"/>
      <c r="D167" s="100">
        <v>9.0</v>
      </c>
      <c r="E167" s="61"/>
      <c r="F167" s="100">
        <v>12.0</v>
      </c>
      <c r="G167" s="61"/>
      <c r="H167" s="61"/>
      <c r="I167" s="100">
        <v>9.0</v>
      </c>
      <c r="J167" s="100"/>
      <c r="K167" s="61"/>
      <c r="L167" s="100">
        <v>12.0</v>
      </c>
      <c r="M167" s="61"/>
      <c r="N167" s="100"/>
      <c r="O167" s="61"/>
      <c r="P167" s="100">
        <v>12.0</v>
      </c>
      <c r="Q167" s="61"/>
      <c r="R167" s="61"/>
      <c r="S167" s="61"/>
      <c r="T167" s="61"/>
      <c r="U167" s="61"/>
      <c r="V167" s="100"/>
      <c r="W167" s="100"/>
      <c r="X167" s="100">
        <v>12.0</v>
      </c>
      <c r="Y167" s="100"/>
      <c r="Z167" s="100"/>
      <c r="AA167" s="100">
        <v>12.0</v>
      </c>
      <c r="AB167" s="100"/>
      <c r="AC167" s="100"/>
      <c r="AD167" s="100">
        <v>9.0</v>
      </c>
      <c r="AE167" s="100"/>
      <c r="AF167" s="100"/>
      <c r="AH167" s="40"/>
      <c r="AI167" s="64">
        <f t="shared" si="9"/>
        <v>87</v>
      </c>
      <c r="AJ167" s="65"/>
      <c r="AK167" s="65"/>
      <c r="AL167" s="66"/>
      <c r="AM167" s="36">
        <f t="array" ref="AM167:AP167">AI167:AL167/4</f>
        <v>21.75</v>
      </c>
      <c r="AN167" s="65"/>
      <c r="AO167" s="65"/>
      <c r="AP167" s="66"/>
      <c r="AQ167" s="46"/>
    </row>
    <row r="168" ht="15.75" customHeight="1">
      <c r="A168" s="47"/>
      <c r="B168" s="78" t="s">
        <v>13</v>
      </c>
      <c r="C168" s="108">
        <v>9.0</v>
      </c>
      <c r="D168" s="99">
        <v>12.0</v>
      </c>
      <c r="E168" s="99">
        <v>12.0</v>
      </c>
      <c r="F168" s="99"/>
      <c r="G168" s="99">
        <v>12.0</v>
      </c>
      <c r="H168" s="99">
        <v>12.0</v>
      </c>
      <c r="I168" s="99">
        <v>12.0</v>
      </c>
      <c r="J168" s="99"/>
      <c r="K168" s="99"/>
      <c r="L168" s="99">
        <v>9.0</v>
      </c>
      <c r="M168" s="99">
        <v>9.0</v>
      </c>
      <c r="N168" s="99">
        <v>9.0</v>
      </c>
      <c r="O168" s="99">
        <v>9.0</v>
      </c>
      <c r="P168" s="99">
        <v>9.0</v>
      </c>
      <c r="Q168" s="49"/>
      <c r="R168" s="49"/>
      <c r="S168" s="49"/>
      <c r="T168" s="49"/>
      <c r="U168" s="49"/>
      <c r="V168" s="99">
        <v>9.0</v>
      </c>
      <c r="W168" s="99">
        <v>9.0</v>
      </c>
      <c r="X168" s="99">
        <v>9.0</v>
      </c>
      <c r="Y168" s="99">
        <v>9.0</v>
      </c>
      <c r="Z168" s="49"/>
      <c r="AA168" s="99">
        <v>9.0</v>
      </c>
      <c r="AB168" s="99">
        <v>9.0</v>
      </c>
      <c r="AC168" s="99">
        <v>9.0</v>
      </c>
      <c r="AD168" s="99">
        <v>9.0</v>
      </c>
      <c r="AE168" s="49"/>
      <c r="AF168" s="49"/>
      <c r="AH168" s="40"/>
      <c r="AI168" s="39">
        <f t="shared" si="9"/>
        <v>186</v>
      </c>
      <c r="AJ168" s="41"/>
      <c r="AK168" s="41"/>
      <c r="AL168" s="42"/>
      <c r="AM168" s="43">
        <f t="array" ref="AM168:AP168">AI168:AL168/4</f>
        <v>46.5</v>
      </c>
      <c r="AN168" s="44"/>
      <c r="AO168" s="44"/>
      <c r="AP168" s="45"/>
      <c r="AQ168" s="46"/>
    </row>
    <row r="169" ht="14.25" customHeight="1">
      <c r="A169" s="47"/>
      <c r="B169" s="78" t="s">
        <v>14</v>
      </c>
      <c r="C169" s="43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  <c r="AF169" s="49"/>
      <c r="AH169" s="40"/>
      <c r="AI169" s="39">
        <f t="shared" si="9"/>
        <v>0</v>
      </c>
      <c r="AJ169" s="41"/>
      <c r="AK169" s="41"/>
      <c r="AL169" s="42"/>
      <c r="AM169" s="43">
        <f t="array" ref="AM169:AP169">AI169:AL169/4</f>
        <v>0</v>
      </c>
      <c r="AN169" s="44"/>
      <c r="AO169" s="44"/>
      <c r="AP169" s="45"/>
      <c r="AQ169" s="46"/>
    </row>
    <row r="170" ht="15.75" customHeight="1">
      <c r="A170" s="47"/>
      <c r="B170" s="78"/>
      <c r="C170" s="43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  <c r="AH170" s="40"/>
      <c r="AI170" s="39">
        <f t="shared" si="9"/>
        <v>0</v>
      </c>
      <c r="AJ170" s="41"/>
      <c r="AK170" s="41"/>
      <c r="AL170" s="42"/>
      <c r="AM170" s="43">
        <f t="array" ref="AM170:AP170">AI170:AL170/4</f>
        <v>0</v>
      </c>
      <c r="AN170" s="44"/>
      <c r="AO170" s="44"/>
      <c r="AP170" s="45"/>
      <c r="AQ170" s="46"/>
    </row>
    <row r="171" ht="15.75" customHeight="1">
      <c r="A171" s="47"/>
      <c r="B171" s="78"/>
      <c r="C171" s="43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  <c r="AD171" s="49"/>
      <c r="AE171" s="49"/>
      <c r="AF171" s="49"/>
      <c r="AH171" s="40"/>
      <c r="AI171" s="39">
        <f t="shared" si="9"/>
        <v>0</v>
      </c>
      <c r="AJ171" s="41"/>
      <c r="AK171" s="41"/>
      <c r="AL171" s="42"/>
      <c r="AM171" s="43">
        <f t="array" ref="AM171:AP171">AI171:AL171/4</f>
        <v>0</v>
      </c>
      <c r="AN171" s="44"/>
      <c r="AO171" s="44"/>
      <c r="AP171" s="45"/>
      <c r="AQ171" s="46"/>
    </row>
    <row r="172" ht="15.75" customHeight="1">
      <c r="A172" s="30"/>
      <c r="B172" s="79" t="s">
        <v>15</v>
      </c>
      <c r="C172" s="69"/>
      <c r="D172" s="103"/>
      <c r="E172" s="103">
        <v>9.0</v>
      </c>
      <c r="F172" s="103">
        <v>9.0</v>
      </c>
      <c r="G172" s="103">
        <v>9.0</v>
      </c>
      <c r="H172" s="103">
        <v>9.0</v>
      </c>
      <c r="I172" s="103">
        <v>12.0</v>
      </c>
      <c r="J172" s="103">
        <v>9.0</v>
      </c>
      <c r="K172" s="103">
        <v>9.0</v>
      </c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103">
        <v>9.0</v>
      </c>
      <c r="AA172" s="80"/>
      <c r="AB172" s="80"/>
      <c r="AC172" s="80"/>
      <c r="AD172" s="80"/>
      <c r="AE172" s="80"/>
      <c r="AF172" s="80"/>
      <c r="AG172" s="41"/>
      <c r="AH172" s="40"/>
      <c r="AI172" s="55">
        <f t="shared" si="9"/>
        <v>75</v>
      </c>
      <c r="AJ172" s="56"/>
      <c r="AK172" s="56"/>
      <c r="AL172" s="57"/>
      <c r="AM172" s="43">
        <f t="array" ref="AM172:AP172">AI172:AL172/4</f>
        <v>18.75</v>
      </c>
      <c r="AN172" s="44"/>
      <c r="AO172" s="44"/>
      <c r="AP172" s="45"/>
      <c r="AQ172" s="46"/>
    </row>
    <row r="173" ht="15.75" customHeight="1">
      <c r="A173" s="4" t="s">
        <v>29</v>
      </c>
      <c r="B173" s="5"/>
      <c r="C173" s="6">
        <v>1.0</v>
      </c>
      <c r="D173" s="13">
        <v>2.0</v>
      </c>
      <c r="E173" s="14">
        <v>3.0</v>
      </c>
      <c r="F173" s="9">
        <v>4.0</v>
      </c>
      <c r="G173" s="9">
        <v>5.0</v>
      </c>
      <c r="H173" s="10">
        <v>6.0</v>
      </c>
      <c r="I173" s="11">
        <v>7.0</v>
      </c>
      <c r="J173" s="12">
        <v>8.0</v>
      </c>
      <c r="K173" s="13">
        <v>9.0</v>
      </c>
      <c r="L173" s="14">
        <v>10.0</v>
      </c>
      <c r="M173" s="9">
        <v>11.0</v>
      </c>
      <c r="N173" s="9">
        <v>12.0</v>
      </c>
      <c r="O173" s="10">
        <v>13.0</v>
      </c>
      <c r="P173" s="11">
        <v>14.0</v>
      </c>
      <c r="Q173" s="12">
        <v>15.0</v>
      </c>
      <c r="R173" s="11">
        <v>16.0</v>
      </c>
      <c r="S173" s="9">
        <v>17.0</v>
      </c>
      <c r="T173" s="9">
        <v>18.0</v>
      </c>
      <c r="U173" s="9">
        <v>19.0</v>
      </c>
      <c r="V173" s="15">
        <v>20.0</v>
      </c>
      <c r="W173" s="16">
        <v>21.0</v>
      </c>
      <c r="X173" s="17">
        <v>22.0</v>
      </c>
      <c r="Y173" s="7">
        <v>23.0</v>
      </c>
      <c r="Z173" s="8">
        <v>24.0</v>
      </c>
      <c r="AA173" s="8">
        <v>25.0</v>
      </c>
      <c r="AB173" s="8">
        <v>26.0</v>
      </c>
      <c r="AC173" s="15">
        <v>27.0</v>
      </c>
      <c r="AD173" s="16">
        <v>28.0</v>
      </c>
      <c r="AE173" s="10">
        <v>29.0</v>
      </c>
      <c r="AF173" s="16">
        <v>30.0</v>
      </c>
      <c r="AG173" s="97">
        <v>31.0</v>
      </c>
      <c r="AH173" s="21"/>
      <c r="AI173" s="22" t="s">
        <v>1</v>
      </c>
      <c r="AJ173" s="5"/>
      <c r="AK173" s="5"/>
      <c r="AL173" s="5"/>
      <c r="AM173" s="22" t="s">
        <v>2</v>
      </c>
      <c r="AN173" s="5"/>
      <c r="AO173" s="5"/>
      <c r="AP173" s="23"/>
      <c r="AQ173" s="24"/>
    </row>
    <row r="174" ht="15.75" customHeight="1">
      <c r="A174" s="25"/>
      <c r="B174" s="2"/>
      <c r="C174" s="26"/>
      <c r="D174" s="27"/>
      <c r="E174" s="28"/>
      <c r="F174" s="28"/>
      <c r="G174" s="28"/>
      <c r="H174" s="29"/>
      <c r="I174" s="30"/>
      <c r="J174" s="31"/>
      <c r="K174" s="27"/>
      <c r="L174" s="28"/>
      <c r="M174" s="28"/>
      <c r="N174" s="28"/>
      <c r="O174" s="29"/>
      <c r="P174" s="30"/>
      <c r="Q174" s="31"/>
      <c r="R174" s="30"/>
      <c r="S174" s="28"/>
      <c r="T174" s="28"/>
      <c r="U174" s="28"/>
      <c r="V174" s="29"/>
      <c r="W174" s="30"/>
      <c r="X174" s="31"/>
      <c r="Y174" s="27"/>
      <c r="Z174" s="28"/>
      <c r="AA174" s="28"/>
      <c r="AB174" s="28"/>
      <c r="AC174" s="29"/>
      <c r="AD174" s="30"/>
      <c r="AE174" s="29"/>
      <c r="AF174" s="30"/>
      <c r="AG174" s="98"/>
      <c r="AH174" s="21">
        <f>SUM(AI156:AL172)</f>
        <v>1374</v>
      </c>
      <c r="AI174" s="25"/>
      <c r="AJ174" s="2"/>
      <c r="AK174" s="2"/>
      <c r="AL174" s="2"/>
      <c r="AM174" s="25"/>
      <c r="AN174" s="2"/>
      <c r="AO174" s="2"/>
      <c r="AP174" s="33"/>
      <c r="AQ174" s="24"/>
    </row>
    <row r="175" ht="15.75" customHeight="1">
      <c r="A175" s="34" t="s">
        <v>3</v>
      </c>
      <c r="B175" s="35" t="s">
        <v>4</v>
      </c>
      <c r="C175" s="36"/>
      <c r="D175" s="37"/>
      <c r="E175" s="37"/>
      <c r="F175" s="37"/>
      <c r="G175" s="37"/>
      <c r="H175" s="37"/>
      <c r="I175" s="37"/>
      <c r="J175" s="37"/>
      <c r="K175" s="106">
        <v>12.0</v>
      </c>
      <c r="L175" s="106">
        <v>12.0</v>
      </c>
      <c r="M175" s="121">
        <v>12.0</v>
      </c>
      <c r="N175" s="122"/>
      <c r="O175" s="106">
        <v>12.0</v>
      </c>
      <c r="P175" s="106">
        <v>12.0</v>
      </c>
      <c r="Q175" s="106">
        <v>12.0</v>
      </c>
      <c r="R175" s="37"/>
      <c r="S175" s="106">
        <v>6.0</v>
      </c>
      <c r="T175" s="121">
        <v>12.0</v>
      </c>
      <c r="U175" s="121">
        <v>12.0</v>
      </c>
      <c r="V175" s="37"/>
      <c r="W175" s="106">
        <v>12.0</v>
      </c>
      <c r="X175" s="106">
        <v>12.0</v>
      </c>
      <c r="Y175" s="106">
        <v>12.0</v>
      </c>
      <c r="Z175" s="106">
        <v>4.0</v>
      </c>
      <c r="AA175" s="37"/>
      <c r="AB175" s="37"/>
      <c r="AC175" s="37"/>
      <c r="AD175" s="37"/>
      <c r="AE175" s="37"/>
      <c r="AF175" s="113"/>
      <c r="AG175" s="39"/>
      <c r="AH175" s="40"/>
      <c r="AI175" s="39">
        <f t="shared" ref="AI175:AI191" si="10">SUM(C175:AG175)</f>
        <v>142</v>
      </c>
      <c r="AJ175" s="41"/>
      <c r="AK175" s="41"/>
      <c r="AL175" s="42"/>
      <c r="AM175" s="43">
        <f t="array" ref="AM175:AP175">AI175:AL175/4</f>
        <v>35.5</v>
      </c>
      <c r="AN175" s="44"/>
      <c r="AO175" s="44"/>
      <c r="AP175" s="45"/>
      <c r="AQ175" s="46"/>
    </row>
    <row r="176" ht="15.75" customHeight="1">
      <c r="A176" s="47"/>
      <c r="B176" s="48" t="s">
        <v>5</v>
      </c>
      <c r="C176" s="43"/>
      <c r="D176" s="49"/>
      <c r="E176" s="49"/>
      <c r="F176" s="49"/>
      <c r="G176" s="49"/>
      <c r="H176" s="49"/>
      <c r="I176" s="49"/>
      <c r="J176" s="49"/>
      <c r="K176" s="49"/>
      <c r="L176" s="49"/>
      <c r="M176" s="123"/>
      <c r="N176" s="123"/>
      <c r="O176" s="49"/>
      <c r="P176" s="49"/>
      <c r="Q176" s="49"/>
      <c r="R176" s="49"/>
      <c r="S176" s="49"/>
      <c r="T176" s="123"/>
      <c r="U176" s="123"/>
      <c r="V176" s="49"/>
      <c r="W176" s="49"/>
      <c r="X176" s="49"/>
      <c r="Y176" s="49"/>
      <c r="Z176" s="49"/>
      <c r="AA176" s="49"/>
      <c r="AB176" s="49"/>
      <c r="AC176" s="49"/>
      <c r="AD176" s="49"/>
      <c r="AE176" s="49"/>
      <c r="AF176" s="94"/>
      <c r="AG176" s="50"/>
      <c r="AH176" s="40"/>
      <c r="AI176" s="39">
        <f t="shared" si="10"/>
        <v>0</v>
      </c>
      <c r="AJ176" s="41"/>
      <c r="AK176" s="41"/>
      <c r="AL176" s="42"/>
      <c r="AM176" s="43">
        <f t="array" ref="AM176:AP176">AI176:AL176/4</f>
        <v>0</v>
      </c>
      <c r="AN176" s="44"/>
      <c r="AO176" s="44"/>
      <c r="AP176" s="45"/>
      <c r="AQ176" s="46"/>
    </row>
    <row r="177" ht="15.75" customHeight="1">
      <c r="A177" s="47"/>
      <c r="B177" s="48" t="s">
        <v>6</v>
      </c>
      <c r="C177" s="43"/>
      <c r="D177" s="49"/>
      <c r="E177" s="49"/>
      <c r="F177" s="49"/>
      <c r="G177" s="49"/>
      <c r="H177" s="49"/>
      <c r="I177" s="49"/>
      <c r="J177" s="99"/>
      <c r="K177" s="99"/>
      <c r="L177" s="49"/>
      <c r="M177" s="124"/>
      <c r="N177" s="124"/>
      <c r="O177" s="49"/>
      <c r="P177" s="99"/>
      <c r="Q177" s="99"/>
      <c r="R177" s="49"/>
      <c r="S177" s="99"/>
      <c r="T177" s="124"/>
      <c r="U177" s="123"/>
      <c r="V177" s="99"/>
      <c r="W177" s="99"/>
      <c r="X177" s="99"/>
      <c r="Y177" s="99"/>
      <c r="Z177" s="49"/>
      <c r="AA177" s="49"/>
      <c r="AB177" s="49"/>
      <c r="AC177" s="49"/>
      <c r="AD177" s="49"/>
      <c r="AE177" s="49"/>
      <c r="AF177" s="94"/>
      <c r="AG177" s="50"/>
      <c r="AH177" s="40"/>
      <c r="AI177" s="39">
        <f t="shared" si="10"/>
        <v>0</v>
      </c>
      <c r="AJ177" s="41"/>
      <c r="AK177" s="41"/>
      <c r="AL177" s="42"/>
      <c r="AM177" s="43">
        <f t="array" ref="AM177:AP177">AI177:AL177/4</f>
        <v>0</v>
      </c>
      <c r="AN177" s="44"/>
      <c r="AO177" s="44"/>
      <c r="AP177" s="45"/>
      <c r="AQ177" s="46"/>
    </row>
    <row r="178" ht="15.75" customHeight="1">
      <c r="A178" s="47"/>
      <c r="B178" s="48" t="s">
        <v>7</v>
      </c>
      <c r="C178" s="43"/>
      <c r="D178" s="49"/>
      <c r="E178" s="49"/>
      <c r="F178" s="49"/>
      <c r="G178" s="49"/>
      <c r="H178" s="49"/>
      <c r="I178" s="49"/>
      <c r="J178" s="99">
        <v>12.0</v>
      </c>
      <c r="K178" s="99"/>
      <c r="L178" s="99">
        <v>12.0</v>
      </c>
      <c r="M178" s="124">
        <v>12.0</v>
      </c>
      <c r="N178" s="124">
        <v>12.0</v>
      </c>
      <c r="O178" s="99"/>
      <c r="P178" s="99">
        <v>12.0</v>
      </c>
      <c r="Q178" s="99">
        <v>12.0</v>
      </c>
      <c r="R178" s="99">
        <v>12.0</v>
      </c>
      <c r="S178" s="99"/>
      <c r="T178" s="124">
        <v>12.0</v>
      </c>
      <c r="U178" s="124">
        <v>12.0</v>
      </c>
      <c r="V178" s="99">
        <v>12.0</v>
      </c>
      <c r="W178" s="99"/>
      <c r="X178" s="99">
        <v>12.0</v>
      </c>
      <c r="Y178" s="99">
        <v>12.0</v>
      </c>
      <c r="Z178" s="49"/>
      <c r="AA178" s="49"/>
      <c r="AB178" s="49"/>
      <c r="AC178" s="49"/>
      <c r="AD178" s="49"/>
      <c r="AE178" s="49"/>
      <c r="AF178" s="49"/>
      <c r="AG178" s="50"/>
      <c r="AH178" s="40"/>
      <c r="AI178" s="39">
        <f t="shared" si="10"/>
        <v>144</v>
      </c>
      <c r="AJ178" s="41"/>
      <c r="AK178" s="41"/>
      <c r="AL178" s="42"/>
      <c r="AM178" s="43">
        <f t="array" ref="AM178:AP178">AI178:AL178/4</f>
        <v>36</v>
      </c>
      <c r="AN178" s="44"/>
      <c r="AO178" s="44"/>
      <c r="AP178" s="45"/>
      <c r="AQ178" s="46"/>
    </row>
    <row r="179" ht="15.75" customHeight="1">
      <c r="A179" s="47"/>
      <c r="B179" s="114" t="s">
        <v>25</v>
      </c>
      <c r="C179" s="52"/>
      <c r="D179" s="53"/>
      <c r="E179" s="53"/>
      <c r="F179" s="53"/>
      <c r="G179" s="53"/>
      <c r="H179" s="53"/>
      <c r="I179" s="53"/>
      <c r="J179" s="101">
        <v>12.0</v>
      </c>
      <c r="K179" s="101">
        <v>12.0</v>
      </c>
      <c r="L179" s="101"/>
      <c r="M179" s="125"/>
      <c r="N179" s="126"/>
      <c r="O179" s="101">
        <v>12.0</v>
      </c>
      <c r="P179" s="101">
        <v>12.0</v>
      </c>
      <c r="Q179" s="101"/>
      <c r="R179" s="101"/>
      <c r="S179" s="101">
        <v>9.0</v>
      </c>
      <c r="T179" s="126"/>
      <c r="U179" s="125"/>
      <c r="V179" s="53"/>
      <c r="W179" s="101">
        <v>12.0</v>
      </c>
      <c r="X179" s="101"/>
      <c r="Y179" s="53"/>
      <c r="Z179" s="53"/>
      <c r="AA179" s="53"/>
      <c r="AB179" s="53"/>
      <c r="AC179" s="53"/>
      <c r="AD179" s="53"/>
      <c r="AE179" s="53"/>
      <c r="AF179" s="53"/>
      <c r="AG179" s="55"/>
      <c r="AH179" s="40"/>
      <c r="AI179" s="39">
        <f t="shared" si="10"/>
        <v>69</v>
      </c>
      <c r="AJ179" s="41"/>
      <c r="AK179" s="41"/>
      <c r="AL179" s="42"/>
      <c r="AM179" s="43">
        <f t="array" ref="AM179:AP179">AI179:AL179/4</f>
        <v>17.25</v>
      </c>
      <c r="AN179" s="44"/>
      <c r="AO179" s="44"/>
      <c r="AP179" s="45"/>
      <c r="AQ179" s="46"/>
    </row>
    <row r="180" ht="15.75" customHeight="1">
      <c r="A180" s="47"/>
      <c r="B180" s="114" t="s">
        <v>30</v>
      </c>
      <c r="C180" s="52"/>
      <c r="D180" s="53"/>
      <c r="E180" s="53"/>
      <c r="F180" s="53"/>
      <c r="G180" s="53"/>
      <c r="H180" s="53"/>
      <c r="I180" s="53"/>
      <c r="J180" s="101"/>
      <c r="K180" s="101">
        <v>12.0</v>
      </c>
      <c r="L180" s="101">
        <v>12.0</v>
      </c>
      <c r="M180" s="125">
        <v>12.0</v>
      </c>
      <c r="N180" s="125">
        <v>12.0</v>
      </c>
      <c r="O180" s="101">
        <v>12.0</v>
      </c>
      <c r="P180" s="53"/>
      <c r="Q180" s="101">
        <v>12.0</v>
      </c>
      <c r="R180" s="101">
        <v>12.0</v>
      </c>
      <c r="S180" s="101">
        <v>9.0</v>
      </c>
      <c r="T180" s="125">
        <v>12.0</v>
      </c>
      <c r="U180" s="125"/>
      <c r="V180" s="101">
        <v>12.0</v>
      </c>
      <c r="W180" s="101">
        <v>12.0</v>
      </c>
      <c r="X180" s="101">
        <v>12.0</v>
      </c>
      <c r="Y180" s="101">
        <v>12.0</v>
      </c>
      <c r="Z180" s="53"/>
      <c r="AA180" s="53"/>
      <c r="AB180" s="53"/>
      <c r="AC180" s="53"/>
      <c r="AD180" s="53"/>
      <c r="AE180" s="53"/>
      <c r="AF180" s="53"/>
      <c r="AG180" s="55"/>
      <c r="AH180" s="40"/>
      <c r="AI180" s="39">
        <f t="shared" si="10"/>
        <v>153</v>
      </c>
      <c r="AJ180" s="41"/>
      <c r="AK180" s="41"/>
      <c r="AL180" s="42"/>
      <c r="AM180" s="43">
        <f t="array" ref="AM180:AP180">AI180:AL180/4</f>
        <v>38.25</v>
      </c>
      <c r="AN180" s="44"/>
      <c r="AO180" s="44"/>
      <c r="AP180" s="45"/>
      <c r="AQ180" s="46"/>
    </row>
    <row r="181" ht="15.75" customHeight="1">
      <c r="A181" s="47"/>
      <c r="B181" s="48"/>
      <c r="C181" s="52"/>
      <c r="D181" s="53"/>
      <c r="E181" s="53"/>
      <c r="F181" s="53"/>
      <c r="G181" s="53"/>
      <c r="H181" s="53"/>
      <c r="I181" s="53"/>
      <c r="J181" s="53"/>
      <c r="K181" s="53"/>
      <c r="L181" s="53"/>
      <c r="M181" s="126"/>
      <c r="N181" s="126"/>
      <c r="O181" s="53"/>
      <c r="P181" s="53"/>
      <c r="Q181" s="53"/>
      <c r="R181" s="53"/>
      <c r="S181" s="53"/>
      <c r="T181" s="126"/>
      <c r="U181" s="126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5"/>
      <c r="AH181" s="40"/>
      <c r="AI181" s="39">
        <f t="shared" si="10"/>
        <v>0</v>
      </c>
      <c r="AJ181" s="41"/>
      <c r="AK181" s="41"/>
      <c r="AL181" s="42"/>
      <c r="AM181" s="43">
        <f t="array" ref="AM181:AP181">AI181:AL181/4</f>
        <v>0</v>
      </c>
      <c r="AN181" s="44"/>
      <c r="AO181" s="44"/>
      <c r="AP181" s="45"/>
      <c r="AQ181" s="46"/>
    </row>
    <row r="182" ht="15.75" customHeight="1">
      <c r="A182" s="30"/>
      <c r="B182" s="48"/>
      <c r="C182" s="52"/>
      <c r="D182" s="53"/>
      <c r="E182" s="53"/>
      <c r="F182" s="53"/>
      <c r="G182" s="53"/>
      <c r="H182" s="53"/>
      <c r="I182" s="53"/>
      <c r="J182" s="53"/>
      <c r="K182" s="53"/>
      <c r="L182" s="53"/>
      <c r="M182" s="126"/>
      <c r="N182" s="126"/>
      <c r="O182" s="53"/>
      <c r="P182" s="53"/>
      <c r="Q182" s="53"/>
      <c r="R182" s="53"/>
      <c r="S182" s="53"/>
      <c r="T182" s="126"/>
      <c r="U182" s="126"/>
      <c r="V182" s="53"/>
      <c r="W182" s="53"/>
      <c r="X182" s="53"/>
      <c r="Y182" s="53"/>
      <c r="Z182" s="53"/>
      <c r="AA182" s="126"/>
      <c r="AB182" s="126"/>
      <c r="AC182" s="53"/>
      <c r="AD182" s="53"/>
      <c r="AE182" s="53"/>
      <c r="AF182" s="53"/>
      <c r="AG182" s="55"/>
      <c r="AH182" s="40"/>
      <c r="AI182" s="55">
        <f t="shared" si="10"/>
        <v>0</v>
      </c>
      <c r="AJ182" s="56"/>
      <c r="AK182" s="56"/>
      <c r="AL182" s="57"/>
      <c r="AM182" s="52">
        <f t="array" ref="AM182:AP182">AI182:AL182/4</f>
        <v>0</v>
      </c>
      <c r="AN182" s="56"/>
      <c r="AO182" s="56"/>
      <c r="AP182" s="57"/>
      <c r="AQ182" s="46"/>
    </row>
    <row r="183" ht="15.75" customHeight="1">
      <c r="A183" s="58" t="s">
        <v>8</v>
      </c>
      <c r="B183" s="59" t="s">
        <v>9</v>
      </c>
      <c r="C183" s="100">
        <v>24.0</v>
      </c>
      <c r="D183" s="100">
        <v>24.0</v>
      </c>
      <c r="E183" s="100">
        <v>24.0</v>
      </c>
      <c r="F183" s="127">
        <v>24.0</v>
      </c>
      <c r="G183" s="127">
        <v>24.0</v>
      </c>
      <c r="H183" s="100">
        <v>24.0</v>
      </c>
      <c r="I183" s="100">
        <v>24.0</v>
      </c>
      <c r="J183" s="100">
        <v>9.0</v>
      </c>
      <c r="K183" s="61"/>
      <c r="L183" s="61"/>
      <c r="M183" s="128"/>
      <c r="N183" s="128"/>
      <c r="O183" s="61"/>
      <c r="P183" s="61"/>
      <c r="Q183" s="62"/>
      <c r="R183" s="63"/>
      <c r="S183" s="61"/>
      <c r="T183" s="128"/>
      <c r="U183" s="128"/>
      <c r="V183" s="61"/>
      <c r="W183" s="61"/>
      <c r="X183" s="61"/>
      <c r="Y183" s="61"/>
      <c r="Z183" s="100">
        <v>20.0</v>
      </c>
      <c r="AA183" s="127">
        <v>24.0</v>
      </c>
      <c r="AB183" s="127">
        <v>24.0</v>
      </c>
      <c r="AC183" s="100">
        <v>24.0</v>
      </c>
      <c r="AD183" s="100">
        <v>24.0</v>
      </c>
      <c r="AE183" s="100">
        <v>24.0</v>
      </c>
      <c r="AF183" s="100">
        <v>24.0</v>
      </c>
      <c r="AG183" s="100">
        <v>24.0</v>
      </c>
      <c r="AH183" s="40"/>
      <c r="AI183" s="64">
        <f t="shared" si="10"/>
        <v>365</v>
      </c>
      <c r="AJ183" s="65"/>
      <c r="AK183" s="65"/>
      <c r="AL183" s="66"/>
      <c r="AM183" s="36">
        <f t="array" ref="AM183:AP183">AI183:AL183/4</f>
        <v>91.25</v>
      </c>
      <c r="AN183" s="65"/>
      <c r="AO183" s="65"/>
      <c r="AP183" s="66"/>
      <c r="AQ183" s="46"/>
    </row>
    <row r="184" ht="15.75" customHeight="1">
      <c r="A184" s="67"/>
      <c r="B184" s="68" t="s">
        <v>18</v>
      </c>
      <c r="C184" s="101">
        <v>24.0</v>
      </c>
      <c r="D184" s="101">
        <v>24.0</v>
      </c>
      <c r="E184" s="101">
        <v>24.0</v>
      </c>
      <c r="F184" s="125">
        <v>24.0</v>
      </c>
      <c r="G184" s="125">
        <v>24.0</v>
      </c>
      <c r="H184" s="101">
        <v>24.0</v>
      </c>
      <c r="I184" s="101">
        <v>24.0</v>
      </c>
      <c r="J184" s="101">
        <v>9.0</v>
      </c>
      <c r="K184" s="53"/>
      <c r="L184" s="53"/>
      <c r="M184" s="126"/>
      <c r="N184" s="126"/>
      <c r="O184" s="53"/>
      <c r="P184" s="53"/>
      <c r="Q184" s="88"/>
      <c r="R184" s="89"/>
      <c r="S184" s="101">
        <v>9.0</v>
      </c>
      <c r="T184" s="126"/>
      <c r="U184" s="126"/>
      <c r="V184" s="53"/>
      <c r="W184" s="53"/>
      <c r="X184" s="53"/>
      <c r="Y184" s="53"/>
      <c r="Z184" s="101">
        <v>20.0</v>
      </c>
      <c r="AA184" s="125">
        <v>24.0</v>
      </c>
      <c r="AB184" s="125">
        <v>24.0</v>
      </c>
      <c r="AC184" s="101">
        <v>24.0</v>
      </c>
      <c r="AD184" s="101">
        <v>24.0</v>
      </c>
      <c r="AE184" s="101">
        <v>24.0</v>
      </c>
      <c r="AF184" s="101">
        <v>24.0</v>
      </c>
      <c r="AG184" s="101">
        <v>24.0</v>
      </c>
      <c r="AH184" s="40"/>
      <c r="AI184" s="39">
        <f t="shared" si="10"/>
        <v>374</v>
      </c>
      <c r="AJ184" s="41"/>
      <c r="AK184" s="41"/>
      <c r="AL184" s="42"/>
      <c r="AM184" s="43">
        <f t="array" ref="AM184:AP184">AI184:AL184/4</f>
        <v>93.5</v>
      </c>
      <c r="AN184" s="44"/>
      <c r="AO184" s="44"/>
      <c r="AP184" s="45"/>
      <c r="AQ184" s="46"/>
    </row>
    <row r="185" ht="15.75" customHeight="1">
      <c r="A185" s="32"/>
      <c r="B185" s="68"/>
      <c r="C185" s="52"/>
      <c r="D185" s="53"/>
      <c r="E185" s="53"/>
      <c r="F185" s="126"/>
      <c r="G185" s="126"/>
      <c r="H185" s="53"/>
      <c r="I185" s="53"/>
      <c r="J185" s="53"/>
      <c r="K185" s="53"/>
      <c r="L185" s="53"/>
      <c r="M185" s="126"/>
      <c r="N185" s="126"/>
      <c r="O185" s="53"/>
      <c r="P185" s="53"/>
      <c r="Q185" s="53"/>
      <c r="R185" s="53"/>
      <c r="S185" s="53"/>
      <c r="T185" s="126"/>
      <c r="U185" s="126"/>
      <c r="V185" s="53"/>
      <c r="W185" s="53"/>
      <c r="X185" s="53"/>
      <c r="Y185" s="53"/>
      <c r="Z185" s="53"/>
      <c r="AA185" s="126"/>
      <c r="AB185" s="126"/>
      <c r="AC185" s="53"/>
      <c r="AD185" s="53"/>
      <c r="AE185" s="53"/>
      <c r="AF185" s="53"/>
      <c r="AG185" s="55"/>
      <c r="AH185" s="40"/>
      <c r="AI185" s="55">
        <f t="shared" si="10"/>
        <v>0</v>
      </c>
      <c r="AJ185" s="56"/>
      <c r="AK185" s="56"/>
      <c r="AL185" s="57"/>
      <c r="AM185" s="40">
        <f t="array" ref="AM185:AP185">AI185:AL185/4</f>
        <v>0</v>
      </c>
      <c r="AP185" s="74"/>
      <c r="AQ185" s="46"/>
    </row>
    <row r="186" ht="14.25" customHeight="1">
      <c r="A186" s="75" t="s">
        <v>11</v>
      </c>
      <c r="B186" s="76" t="s">
        <v>12</v>
      </c>
      <c r="C186" s="36"/>
      <c r="D186" s="61"/>
      <c r="E186" s="61"/>
      <c r="F186" s="61"/>
      <c r="G186" s="61"/>
      <c r="H186" s="61"/>
      <c r="I186" s="61"/>
      <c r="J186" s="100">
        <v>3.0</v>
      </c>
      <c r="K186" s="100">
        <v>9.0</v>
      </c>
      <c r="L186" s="61"/>
      <c r="M186" s="128"/>
      <c r="N186" s="127">
        <v>12.0</v>
      </c>
      <c r="O186" s="61"/>
      <c r="P186" s="100">
        <v>9.0</v>
      </c>
      <c r="Q186" s="100"/>
      <c r="R186" s="100">
        <v>12.0</v>
      </c>
      <c r="S186" s="100">
        <v>6.0</v>
      </c>
      <c r="T186" s="127"/>
      <c r="U186" s="127"/>
      <c r="V186" s="100">
        <v>12.0</v>
      </c>
      <c r="W186" s="61"/>
      <c r="X186" s="100">
        <v>9.0</v>
      </c>
      <c r="Y186" s="61"/>
      <c r="Z186" s="100">
        <v>4.0</v>
      </c>
      <c r="AA186" s="128"/>
      <c r="AB186" s="128"/>
      <c r="AC186" s="61"/>
      <c r="AD186" s="61"/>
      <c r="AE186" s="61"/>
      <c r="AF186" s="61"/>
      <c r="AG186" s="64"/>
      <c r="AH186" s="40"/>
      <c r="AI186" s="64">
        <f t="shared" si="10"/>
        <v>76</v>
      </c>
      <c r="AJ186" s="65"/>
      <c r="AK186" s="65"/>
      <c r="AL186" s="66"/>
      <c r="AM186" s="36">
        <f t="array" ref="AM186:AP186">AI186:AL186/4</f>
        <v>19</v>
      </c>
      <c r="AN186" s="65"/>
      <c r="AO186" s="65"/>
      <c r="AP186" s="66"/>
      <c r="AQ186" s="46"/>
    </row>
    <row r="187" ht="15.75" customHeight="1">
      <c r="A187" s="47"/>
      <c r="B187" s="78" t="s">
        <v>13</v>
      </c>
      <c r="C187" s="43"/>
      <c r="D187" s="49"/>
      <c r="E187" s="49"/>
      <c r="F187" s="49"/>
      <c r="G187" s="49"/>
      <c r="H187" s="49"/>
      <c r="I187" s="49"/>
      <c r="J187" s="49"/>
      <c r="K187" s="99"/>
      <c r="L187" s="99"/>
      <c r="M187" s="124"/>
      <c r="N187" s="124"/>
      <c r="O187" s="99"/>
      <c r="P187" s="49"/>
      <c r="Q187" s="99"/>
      <c r="R187" s="99"/>
      <c r="S187" s="99"/>
      <c r="T187" s="124"/>
      <c r="U187" s="124"/>
      <c r="V187" s="99"/>
      <c r="W187" s="49"/>
      <c r="X187" s="99"/>
      <c r="Y187" s="99"/>
      <c r="Z187" s="49"/>
      <c r="AA187" s="123"/>
      <c r="AB187" s="123"/>
      <c r="AC187" s="49"/>
      <c r="AD187" s="49"/>
      <c r="AE187" s="49"/>
      <c r="AF187" s="49"/>
      <c r="AG187" s="50"/>
      <c r="AH187" s="40"/>
      <c r="AI187" s="39">
        <f t="shared" si="10"/>
        <v>0</v>
      </c>
      <c r="AJ187" s="41"/>
      <c r="AK187" s="41"/>
      <c r="AL187" s="42"/>
      <c r="AM187" s="43">
        <f t="array" ref="AM187:AP187">AI187:AL187/4</f>
        <v>0</v>
      </c>
      <c r="AN187" s="44"/>
      <c r="AO187" s="44"/>
      <c r="AP187" s="45"/>
      <c r="AQ187" s="46"/>
    </row>
    <row r="188" ht="15.75" customHeight="1">
      <c r="A188" s="47"/>
      <c r="B188" s="78" t="s">
        <v>14</v>
      </c>
      <c r="C188" s="43"/>
      <c r="D188" s="49"/>
      <c r="E188" s="49"/>
      <c r="F188" s="49"/>
      <c r="G188" s="49"/>
      <c r="H188" s="49"/>
      <c r="I188" s="49"/>
      <c r="J188" s="49"/>
      <c r="K188" s="49"/>
      <c r="L188" s="49"/>
      <c r="M188" s="123"/>
      <c r="N188" s="123"/>
      <c r="O188" s="49"/>
      <c r="P188" s="49"/>
      <c r="Q188" s="49"/>
      <c r="R188" s="49"/>
      <c r="S188" s="49"/>
      <c r="T188" s="123"/>
      <c r="U188" s="123"/>
      <c r="V188" s="49"/>
      <c r="W188" s="49"/>
      <c r="X188" s="49"/>
      <c r="Y188" s="49"/>
      <c r="Z188" s="49"/>
      <c r="AA188" s="123"/>
      <c r="AB188" s="123"/>
      <c r="AC188" s="49"/>
      <c r="AD188" s="49"/>
      <c r="AE188" s="49"/>
      <c r="AF188" s="49"/>
      <c r="AG188" s="50"/>
      <c r="AH188" s="40"/>
      <c r="AI188" s="39">
        <f t="shared" si="10"/>
        <v>0</v>
      </c>
      <c r="AJ188" s="41"/>
      <c r="AK188" s="41"/>
      <c r="AL188" s="42"/>
      <c r="AM188" s="43">
        <f t="array" ref="AM188:AP188">AI188:AL188/4</f>
        <v>0</v>
      </c>
      <c r="AN188" s="44"/>
      <c r="AO188" s="44"/>
      <c r="AP188" s="45"/>
      <c r="AQ188" s="46"/>
    </row>
    <row r="189" ht="15.75" customHeight="1">
      <c r="A189" s="47"/>
      <c r="B189" s="78"/>
      <c r="C189" s="43"/>
      <c r="D189" s="49"/>
      <c r="E189" s="49"/>
      <c r="F189" s="49"/>
      <c r="G189" s="49"/>
      <c r="H189" s="49"/>
      <c r="I189" s="49"/>
      <c r="J189" s="49"/>
      <c r="K189" s="49"/>
      <c r="L189" s="49"/>
      <c r="M189" s="123"/>
      <c r="N189" s="123"/>
      <c r="O189" s="49"/>
      <c r="P189" s="49"/>
      <c r="Q189" s="49"/>
      <c r="R189" s="49"/>
      <c r="S189" s="49"/>
      <c r="T189" s="123"/>
      <c r="U189" s="123"/>
      <c r="V189" s="49"/>
      <c r="W189" s="49"/>
      <c r="X189" s="49"/>
      <c r="Y189" s="49"/>
      <c r="Z189" s="49"/>
      <c r="AA189" s="49"/>
      <c r="AB189" s="49"/>
      <c r="AC189" s="49"/>
      <c r="AD189" s="49"/>
      <c r="AE189" s="49"/>
      <c r="AF189" s="94"/>
      <c r="AG189" s="50"/>
      <c r="AH189" s="40"/>
      <c r="AI189" s="39">
        <f t="shared" si="10"/>
        <v>0</v>
      </c>
      <c r="AJ189" s="41"/>
      <c r="AK189" s="41"/>
      <c r="AL189" s="42"/>
      <c r="AM189" s="43">
        <f t="array" ref="AM189:AP189">AI189:AL189/4</f>
        <v>0</v>
      </c>
      <c r="AN189" s="44"/>
      <c r="AO189" s="44"/>
      <c r="AP189" s="45"/>
      <c r="AQ189" s="46"/>
    </row>
    <row r="190" ht="15.75" customHeight="1">
      <c r="A190" s="47"/>
      <c r="B190" s="78"/>
      <c r="C190" s="43"/>
      <c r="D190" s="49"/>
      <c r="E190" s="49"/>
      <c r="F190" s="49"/>
      <c r="G190" s="49"/>
      <c r="H190" s="49"/>
      <c r="I190" s="49"/>
      <c r="J190" s="49"/>
      <c r="K190" s="49"/>
      <c r="L190" s="49"/>
      <c r="M190" s="123"/>
      <c r="N190" s="123"/>
      <c r="O190" s="49"/>
      <c r="P190" s="49"/>
      <c r="Q190" s="49"/>
      <c r="R190" s="49"/>
      <c r="S190" s="49"/>
      <c r="T190" s="123"/>
      <c r="U190" s="123"/>
      <c r="V190" s="49"/>
      <c r="W190" s="49"/>
      <c r="X190" s="49"/>
      <c r="Y190" s="49"/>
      <c r="Z190" s="49"/>
      <c r="AA190" s="49"/>
      <c r="AB190" s="49"/>
      <c r="AC190" s="49"/>
      <c r="AD190" s="49"/>
      <c r="AE190" s="49"/>
      <c r="AF190" s="94"/>
      <c r="AG190" s="50"/>
      <c r="AH190" s="40"/>
      <c r="AI190" s="39">
        <f t="shared" si="10"/>
        <v>0</v>
      </c>
      <c r="AJ190" s="41"/>
      <c r="AK190" s="41"/>
      <c r="AL190" s="42"/>
      <c r="AM190" s="43">
        <f t="array" ref="AM190:AP190">AI190:AL190/4</f>
        <v>0</v>
      </c>
      <c r="AN190" s="44"/>
      <c r="AO190" s="44"/>
      <c r="AP190" s="45"/>
      <c r="AQ190" s="46"/>
    </row>
    <row r="191" ht="15.75" customHeight="1">
      <c r="A191" s="30"/>
      <c r="B191" s="79" t="s">
        <v>15</v>
      </c>
      <c r="C191" s="69"/>
      <c r="D191" s="80"/>
      <c r="E191" s="80"/>
      <c r="F191" s="80"/>
      <c r="G191" s="80"/>
      <c r="H191" s="80"/>
      <c r="I191" s="80"/>
      <c r="J191" s="80"/>
      <c r="K191" s="80"/>
      <c r="L191" s="103">
        <v>9.0</v>
      </c>
      <c r="M191" s="103">
        <v>9.0</v>
      </c>
      <c r="N191" s="103">
        <v>9.0</v>
      </c>
      <c r="O191" s="103">
        <v>9.0</v>
      </c>
      <c r="P191" s="80"/>
      <c r="Q191" s="103">
        <v>9.0</v>
      </c>
      <c r="R191" s="103">
        <v>9.0</v>
      </c>
      <c r="S191" s="103"/>
      <c r="T191" s="129">
        <v>9.0</v>
      </c>
      <c r="U191" s="129">
        <v>21.0</v>
      </c>
      <c r="V191" s="103">
        <v>9.0</v>
      </c>
      <c r="W191" s="103">
        <v>9.0</v>
      </c>
      <c r="X191" s="80"/>
      <c r="Y191" s="103">
        <v>9.0</v>
      </c>
      <c r="Z191" s="80"/>
      <c r="AA191" s="80"/>
      <c r="AB191" s="80"/>
      <c r="AC191" s="80"/>
      <c r="AD191" s="80"/>
      <c r="AE191" s="80"/>
      <c r="AF191" s="80"/>
      <c r="AG191" s="55"/>
      <c r="AH191" s="40">
        <f>SUM(AI175:AL191)</f>
        <v>1434</v>
      </c>
      <c r="AI191" s="55">
        <f t="shared" si="10"/>
        <v>111</v>
      </c>
      <c r="AJ191" s="56"/>
      <c r="AK191" s="56"/>
      <c r="AL191" s="57"/>
      <c r="AM191" s="43">
        <f t="array" ref="AM191:AP191">AI191:AL191/4</f>
        <v>27.75</v>
      </c>
      <c r="AN191" s="44"/>
      <c r="AO191" s="44"/>
      <c r="AP191" s="45"/>
      <c r="AQ191" s="46"/>
    </row>
    <row r="192" ht="15.75" customHeight="1">
      <c r="A192" s="4" t="s">
        <v>31</v>
      </c>
      <c r="B192" s="5"/>
      <c r="C192" s="6">
        <v>1.0</v>
      </c>
      <c r="D192" s="13">
        <v>2.0</v>
      </c>
      <c r="E192" s="14">
        <v>3.0</v>
      </c>
      <c r="F192" s="9">
        <v>4.0</v>
      </c>
      <c r="G192" s="9">
        <v>5.0</v>
      </c>
      <c r="H192" s="10">
        <v>6.0</v>
      </c>
      <c r="I192" s="11">
        <v>7.0</v>
      </c>
      <c r="J192" s="12">
        <v>8.0</v>
      </c>
      <c r="K192" s="13">
        <v>9.0</v>
      </c>
      <c r="L192" s="14">
        <v>10.0</v>
      </c>
      <c r="M192" s="9">
        <v>11.0</v>
      </c>
      <c r="N192" s="9">
        <v>12.0</v>
      </c>
      <c r="O192" s="10">
        <v>13.0</v>
      </c>
      <c r="P192" s="11">
        <v>14.0</v>
      </c>
      <c r="Q192" s="12">
        <v>15.0</v>
      </c>
      <c r="R192" s="11">
        <v>16.0</v>
      </c>
      <c r="S192" s="9">
        <v>17.0</v>
      </c>
      <c r="T192" s="9">
        <v>18.0</v>
      </c>
      <c r="U192" s="9">
        <v>19.0</v>
      </c>
      <c r="V192" s="15">
        <v>20.0</v>
      </c>
      <c r="W192" s="16">
        <v>21.0</v>
      </c>
      <c r="X192" s="17">
        <v>22.0</v>
      </c>
      <c r="Y192" s="7">
        <v>23.0</v>
      </c>
      <c r="Z192" s="8">
        <v>24.0</v>
      </c>
      <c r="AA192" s="8">
        <v>25.0</v>
      </c>
      <c r="AB192" s="8">
        <v>26.0</v>
      </c>
      <c r="AC192" s="15">
        <v>27.0</v>
      </c>
      <c r="AD192" s="16">
        <v>28.0</v>
      </c>
      <c r="AE192" s="130">
        <v>29.0</v>
      </c>
      <c r="AF192" s="131">
        <v>30.0</v>
      </c>
      <c r="AG192" s="132"/>
      <c r="AH192" s="40"/>
      <c r="AI192" s="22" t="s">
        <v>1</v>
      </c>
      <c r="AJ192" s="5"/>
      <c r="AK192" s="5"/>
      <c r="AL192" s="5"/>
      <c r="AM192" s="22" t="s">
        <v>2</v>
      </c>
      <c r="AN192" s="5"/>
      <c r="AO192" s="5"/>
      <c r="AP192" s="23"/>
      <c r="AQ192" s="46"/>
    </row>
    <row r="193" ht="15.75" customHeight="1">
      <c r="A193" s="25"/>
      <c r="B193" s="2"/>
      <c r="C193" s="26"/>
      <c r="D193" s="27"/>
      <c r="E193" s="28"/>
      <c r="F193" s="28"/>
      <c r="G193" s="28"/>
      <c r="H193" s="29"/>
      <c r="I193" s="30"/>
      <c r="J193" s="31"/>
      <c r="K193" s="27"/>
      <c r="L193" s="28"/>
      <c r="M193" s="28"/>
      <c r="N193" s="28"/>
      <c r="O193" s="29"/>
      <c r="P193" s="30"/>
      <c r="Q193" s="31"/>
      <c r="R193" s="30"/>
      <c r="S193" s="28"/>
      <c r="T193" s="28"/>
      <c r="U193" s="28"/>
      <c r="V193" s="29"/>
      <c r="W193" s="30"/>
      <c r="X193" s="31"/>
      <c r="Y193" s="27"/>
      <c r="Z193" s="28"/>
      <c r="AA193" s="28"/>
      <c r="AB193" s="28"/>
      <c r="AC193" s="29"/>
      <c r="AD193" s="30"/>
      <c r="AE193" s="28"/>
      <c r="AF193" s="28"/>
      <c r="AH193" s="40"/>
      <c r="AI193" s="25"/>
      <c r="AJ193" s="2"/>
      <c r="AK193" s="2"/>
      <c r="AL193" s="2"/>
      <c r="AM193" s="25"/>
      <c r="AN193" s="2"/>
      <c r="AO193" s="2"/>
      <c r="AP193" s="33"/>
      <c r="AQ193" s="46"/>
    </row>
    <row r="194" ht="15.75" customHeight="1">
      <c r="A194" s="34" t="s">
        <v>3</v>
      </c>
      <c r="B194" s="35" t="s">
        <v>4</v>
      </c>
      <c r="C194" s="36"/>
      <c r="D194" s="37"/>
      <c r="E194" s="37"/>
      <c r="F194" s="37"/>
      <c r="G194" s="37"/>
      <c r="H194" s="106">
        <v>9.0</v>
      </c>
      <c r="I194" s="106">
        <v>12.0</v>
      </c>
      <c r="J194" s="121">
        <v>12.0</v>
      </c>
      <c r="K194" s="122"/>
      <c r="L194" s="106">
        <v>12.0</v>
      </c>
      <c r="M194" s="106">
        <v>12.0</v>
      </c>
      <c r="N194" s="106"/>
      <c r="O194" s="106">
        <v>6.0</v>
      </c>
      <c r="P194" s="106">
        <v>12.0</v>
      </c>
      <c r="Q194" s="121">
        <v>12.0</v>
      </c>
      <c r="R194" s="121">
        <v>9.0</v>
      </c>
      <c r="S194" s="37"/>
      <c r="T194" s="106"/>
      <c r="U194" s="106"/>
      <c r="V194" s="106">
        <v>9.0</v>
      </c>
      <c r="W194" s="106">
        <v>12.0</v>
      </c>
      <c r="X194" s="121">
        <v>12.0</v>
      </c>
      <c r="Y194" s="121"/>
      <c r="Z194" s="106">
        <v>12.0</v>
      </c>
      <c r="AA194" s="106">
        <v>12.0</v>
      </c>
      <c r="AB194" s="106"/>
      <c r="AC194" s="106">
        <v>13.0</v>
      </c>
      <c r="AD194" s="106" t="s">
        <v>21</v>
      </c>
      <c r="AE194" s="121" t="s">
        <v>21</v>
      </c>
      <c r="AF194" s="121" t="s">
        <v>21</v>
      </c>
      <c r="AH194" s="40"/>
      <c r="AI194" s="39">
        <f t="shared" ref="AI194:AI210" si="11">SUM(C194:AG194)</f>
        <v>166</v>
      </c>
      <c r="AJ194" s="41"/>
      <c r="AK194" s="41"/>
      <c r="AL194" s="42"/>
      <c r="AM194" s="43">
        <f t="array" ref="AM194:AP194">AI194:AL194/4</f>
        <v>41.5</v>
      </c>
      <c r="AN194" s="44"/>
      <c r="AO194" s="44"/>
      <c r="AP194" s="45"/>
      <c r="AQ194" s="46"/>
    </row>
    <row r="195" ht="15.75" customHeight="1">
      <c r="A195" s="47"/>
      <c r="B195" s="48" t="s">
        <v>5</v>
      </c>
      <c r="C195" s="43"/>
      <c r="D195" s="49"/>
      <c r="E195" s="49"/>
      <c r="F195" s="49"/>
      <c r="G195" s="49"/>
      <c r="H195" s="49"/>
      <c r="I195" s="49"/>
      <c r="J195" s="123"/>
      <c r="K195" s="123"/>
      <c r="L195" s="49"/>
      <c r="M195" s="49"/>
      <c r="N195" s="49"/>
      <c r="O195" s="99">
        <v>9.0</v>
      </c>
      <c r="P195" s="49"/>
      <c r="Q195" s="123"/>
      <c r="R195" s="125">
        <v>12.0</v>
      </c>
      <c r="S195" s="101">
        <v>12.0</v>
      </c>
      <c r="T195" s="101">
        <v>9.0</v>
      </c>
      <c r="U195" s="101">
        <v>12.0</v>
      </c>
      <c r="V195" s="101">
        <v>12.0</v>
      </c>
      <c r="W195" s="49"/>
      <c r="X195" s="123"/>
      <c r="Y195" s="123"/>
      <c r="Z195" s="49"/>
      <c r="AA195" s="49"/>
      <c r="AB195" s="49"/>
      <c r="AC195" s="49"/>
      <c r="AD195" s="49"/>
      <c r="AE195" s="123"/>
      <c r="AF195" s="133"/>
      <c r="AH195" s="40"/>
      <c r="AI195" s="39">
        <f t="shared" si="11"/>
        <v>66</v>
      </c>
      <c r="AJ195" s="41"/>
      <c r="AK195" s="41"/>
      <c r="AL195" s="42"/>
      <c r="AM195" s="43">
        <f t="array" ref="AM195:AP195">AI195:AL195/4</f>
        <v>16.5</v>
      </c>
      <c r="AN195" s="44"/>
      <c r="AO195" s="44"/>
      <c r="AP195" s="45"/>
      <c r="AQ195" s="46"/>
    </row>
    <row r="196" ht="15.75" customHeight="1">
      <c r="A196" s="47"/>
      <c r="B196" s="114" t="s">
        <v>30</v>
      </c>
      <c r="C196" s="49"/>
      <c r="D196" s="49"/>
      <c r="E196" s="49"/>
      <c r="F196" s="49"/>
      <c r="G196" s="99"/>
      <c r="H196" s="99">
        <v>12.0</v>
      </c>
      <c r="I196" s="99"/>
      <c r="J196" s="124">
        <v>12.0</v>
      </c>
      <c r="K196" s="124">
        <v>12.0</v>
      </c>
      <c r="L196" s="99">
        <v>12.0</v>
      </c>
      <c r="M196" s="99"/>
      <c r="N196" s="99">
        <v>12.0</v>
      </c>
      <c r="O196" s="99">
        <v>9.0</v>
      </c>
      <c r="P196" s="99">
        <v>12.0</v>
      </c>
      <c r="Q196" s="124"/>
      <c r="R196" s="124">
        <v>12.0</v>
      </c>
      <c r="S196" s="99">
        <v>12.0</v>
      </c>
      <c r="T196" s="99"/>
      <c r="U196" s="99">
        <v>12.0</v>
      </c>
      <c r="V196" s="99">
        <v>12.0</v>
      </c>
      <c r="W196" s="49"/>
      <c r="X196" s="124">
        <v>12.0</v>
      </c>
      <c r="Y196" s="124">
        <v>12.0</v>
      </c>
      <c r="Z196" s="99">
        <v>12.0</v>
      </c>
      <c r="AA196" s="99"/>
      <c r="AB196" s="99">
        <v>10.0</v>
      </c>
      <c r="AC196" s="99">
        <v>13.0</v>
      </c>
      <c r="AD196" s="49"/>
      <c r="AE196" s="123"/>
      <c r="AF196" s="133"/>
      <c r="AH196" s="40"/>
      <c r="AI196" s="39">
        <f t="shared" si="11"/>
        <v>188</v>
      </c>
      <c r="AJ196" s="41"/>
      <c r="AK196" s="41"/>
      <c r="AL196" s="42"/>
      <c r="AM196" s="43">
        <f t="array" ref="AM196:AP196">AI196:AL196/4</f>
        <v>47</v>
      </c>
      <c r="AN196" s="44"/>
      <c r="AO196" s="44"/>
      <c r="AP196" s="45"/>
      <c r="AQ196" s="46"/>
    </row>
    <row r="197" ht="15.75" customHeight="1">
      <c r="A197" s="47"/>
      <c r="B197" s="48" t="s">
        <v>7</v>
      </c>
      <c r="C197" s="49"/>
      <c r="D197" s="49"/>
      <c r="E197" s="49"/>
      <c r="F197" s="49"/>
      <c r="G197" s="99"/>
      <c r="H197" s="99"/>
      <c r="I197" s="99">
        <v>12.0</v>
      </c>
      <c r="J197" s="124">
        <v>12.0</v>
      </c>
      <c r="K197" s="124">
        <v>12.0</v>
      </c>
      <c r="L197" s="99"/>
      <c r="M197" s="99">
        <v>12.0</v>
      </c>
      <c r="N197" s="99">
        <v>12.0</v>
      </c>
      <c r="O197" s="99">
        <v>9.0</v>
      </c>
      <c r="P197" s="99"/>
      <c r="Q197" s="124">
        <v>12.0</v>
      </c>
      <c r="R197" s="124">
        <v>12.0</v>
      </c>
      <c r="S197" s="99">
        <v>12.0</v>
      </c>
      <c r="T197" s="99"/>
      <c r="U197" s="99">
        <v>12.0</v>
      </c>
      <c r="V197" s="99"/>
      <c r="W197" s="99">
        <v>12.0</v>
      </c>
      <c r="X197" s="124">
        <v>12.0</v>
      </c>
      <c r="Y197" s="124">
        <v>12.0</v>
      </c>
      <c r="Z197" s="99"/>
      <c r="AA197" s="99">
        <v>12.0</v>
      </c>
      <c r="AB197" s="99">
        <v>10.0</v>
      </c>
      <c r="AC197" s="99">
        <v>13.0</v>
      </c>
      <c r="AD197" s="49"/>
      <c r="AE197" s="123"/>
      <c r="AF197" s="123"/>
      <c r="AH197" s="40"/>
      <c r="AI197" s="39">
        <f t="shared" si="11"/>
        <v>188</v>
      </c>
      <c r="AJ197" s="41"/>
      <c r="AK197" s="41"/>
      <c r="AL197" s="42"/>
      <c r="AM197" s="43">
        <f t="array" ref="AM197:AP197">AI197:AL197/4</f>
        <v>47</v>
      </c>
      <c r="AN197" s="44"/>
      <c r="AO197" s="44"/>
      <c r="AP197" s="45"/>
      <c r="AQ197" s="46"/>
    </row>
    <row r="198" ht="15.75" customHeight="1">
      <c r="A198" s="47"/>
      <c r="B198" s="114" t="s">
        <v>25</v>
      </c>
      <c r="C198" s="53"/>
      <c r="D198" s="53"/>
      <c r="E198" s="53"/>
      <c r="F198" s="53"/>
      <c r="G198" s="101"/>
      <c r="H198" s="101">
        <v>12.0</v>
      </c>
      <c r="I198" s="101">
        <v>12.0</v>
      </c>
      <c r="J198" s="125"/>
      <c r="K198" s="125"/>
      <c r="L198" s="101">
        <v>12.0</v>
      </c>
      <c r="M198" s="101">
        <v>12.0</v>
      </c>
      <c r="N198" s="101"/>
      <c r="O198" s="53"/>
      <c r="P198" s="101">
        <v>12.0</v>
      </c>
      <c r="Q198" s="125">
        <v>12.0</v>
      </c>
      <c r="R198" s="125"/>
      <c r="S198" s="101"/>
      <c r="T198" s="101">
        <v>12.0</v>
      </c>
      <c r="U198" s="101"/>
      <c r="V198" s="101">
        <v>12.0</v>
      </c>
      <c r="W198" s="101">
        <v>12.0</v>
      </c>
      <c r="X198" s="126"/>
      <c r="Y198" s="126"/>
      <c r="Z198" s="101">
        <v>12.0</v>
      </c>
      <c r="AA198" s="101">
        <v>12.0</v>
      </c>
      <c r="AB198" s="101"/>
      <c r="AC198" s="101"/>
      <c r="AD198" s="53"/>
      <c r="AE198" s="126"/>
      <c r="AF198" s="126"/>
      <c r="AH198" s="40"/>
      <c r="AI198" s="39">
        <f t="shared" si="11"/>
        <v>132</v>
      </c>
      <c r="AJ198" s="41"/>
      <c r="AK198" s="41"/>
      <c r="AL198" s="42"/>
      <c r="AM198" s="43">
        <f t="array" ref="AM198:AP198">AI198:AL198/4</f>
        <v>33</v>
      </c>
      <c r="AN198" s="44"/>
      <c r="AO198" s="44"/>
      <c r="AP198" s="45"/>
      <c r="AQ198" s="46"/>
    </row>
    <row r="199" ht="15.75" customHeight="1">
      <c r="A199" s="47"/>
      <c r="B199" s="48"/>
      <c r="C199" s="49"/>
      <c r="D199" s="49"/>
      <c r="E199" s="49"/>
      <c r="F199" s="49"/>
      <c r="G199" s="49"/>
      <c r="H199" s="49"/>
      <c r="I199" s="49"/>
      <c r="J199" s="123"/>
      <c r="K199" s="123"/>
      <c r="L199" s="53"/>
      <c r="M199" s="53"/>
      <c r="N199" s="53"/>
      <c r="O199" s="53"/>
      <c r="P199" s="53"/>
      <c r="Q199" s="126"/>
      <c r="R199" s="126"/>
      <c r="S199" s="53"/>
      <c r="T199" s="53"/>
      <c r="U199" s="53"/>
      <c r="V199" s="53"/>
      <c r="W199" s="53"/>
      <c r="X199" s="126"/>
      <c r="Y199" s="126"/>
      <c r="Z199" s="53"/>
      <c r="AA199" s="53"/>
      <c r="AB199" s="53"/>
      <c r="AC199" s="53"/>
      <c r="AD199" s="53"/>
      <c r="AE199" s="126"/>
      <c r="AF199" s="126"/>
      <c r="AH199" s="40"/>
      <c r="AI199" s="39">
        <f t="shared" si="11"/>
        <v>0</v>
      </c>
      <c r="AJ199" s="41"/>
      <c r="AK199" s="41"/>
      <c r="AL199" s="42"/>
      <c r="AM199" s="43">
        <f t="array" ref="AM199:AP199">AI199:AL199/4</f>
        <v>0</v>
      </c>
      <c r="AN199" s="44"/>
      <c r="AO199" s="44"/>
      <c r="AP199" s="45"/>
      <c r="AQ199" s="46"/>
    </row>
    <row r="200" ht="15.75" customHeight="1">
      <c r="A200" s="47"/>
      <c r="B200" s="48"/>
      <c r="C200" s="134"/>
      <c r="D200" s="126"/>
      <c r="E200" s="53"/>
      <c r="F200" s="53"/>
      <c r="G200" s="53"/>
      <c r="H200" s="53"/>
      <c r="I200" s="53"/>
      <c r="J200" s="126"/>
      <c r="K200" s="126"/>
      <c r="L200" s="53"/>
      <c r="M200" s="53"/>
      <c r="N200" s="53"/>
      <c r="O200" s="53"/>
      <c r="P200" s="53"/>
      <c r="Q200" s="126"/>
      <c r="R200" s="126"/>
      <c r="S200" s="53"/>
      <c r="T200" s="53"/>
      <c r="U200" s="53"/>
      <c r="V200" s="53"/>
      <c r="W200" s="53"/>
      <c r="X200" s="126"/>
      <c r="Y200" s="126"/>
      <c r="Z200" s="53"/>
      <c r="AA200" s="53"/>
      <c r="AB200" s="53"/>
      <c r="AC200" s="53"/>
      <c r="AD200" s="53"/>
      <c r="AE200" s="126"/>
      <c r="AF200" s="126"/>
      <c r="AH200" s="40"/>
      <c r="AI200" s="39">
        <f t="shared" si="11"/>
        <v>0</v>
      </c>
      <c r="AJ200" s="41"/>
      <c r="AK200" s="41"/>
      <c r="AL200" s="42"/>
      <c r="AM200" s="43">
        <f t="array" ref="AM200:AP200">AI200:AL200/4</f>
        <v>0</v>
      </c>
      <c r="AN200" s="44"/>
      <c r="AO200" s="44"/>
      <c r="AP200" s="45"/>
      <c r="AQ200" s="46"/>
    </row>
    <row r="201" ht="15.75" customHeight="1">
      <c r="A201" s="30"/>
      <c r="B201" s="48"/>
      <c r="C201" s="134"/>
      <c r="D201" s="126"/>
      <c r="E201" s="53"/>
      <c r="F201" s="53"/>
      <c r="G201" s="53"/>
      <c r="H201" s="53"/>
      <c r="I201" s="53"/>
      <c r="J201" s="126"/>
      <c r="K201" s="126"/>
      <c r="L201" s="53"/>
      <c r="M201" s="53"/>
      <c r="N201" s="53"/>
      <c r="O201" s="53"/>
      <c r="P201" s="53"/>
      <c r="Q201" s="126"/>
      <c r="R201" s="126"/>
      <c r="S201" s="53"/>
      <c r="T201" s="53"/>
      <c r="U201" s="53"/>
      <c r="V201" s="53"/>
      <c r="W201" s="53"/>
      <c r="X201" s="126"/>
      <c r="Y201" s="126"/>
      <c r="Z201" s="53"/>
      <c r="AA201" s="53"/>
      <c r="AB201" s="53"/>
      <c r="AC201" s="53"/>
      <c r="AD201" s="53"/>
      <c r="AE201" s="135"/>
      <c r="AF201" s="135"/>
      <c r="AH201" s="40"/>
      <c r="AI201" s="55">
        <f t="shared" si="11"/>
        <v>0</v>
      </c>
      <c r="AJ201" s="56"/>
      <c r="AK201" s="56"/>
      <c r="AL201" s="57"/>
      <c r="AM201" s="52">
        <f t="array" ref="AM201:AP201">AI201:AL201/4</f>
        <v>0</v>
      </c>
      <c r="AN201" s="56"/>
      <c r="AO201" s="56"/>
      <c r="AP201" s="57"/>
      <c r="AQ201" s="46"/>
    </row>
    <row r="202" ht="15.75" customHeight="1">
      <c r="A202" s="58" t="s">
        <v>8</v>
      </c>
      <c r="B202" s="59" t="s">
        <v>9</v>
      </c>
      <c r="C202" s="127">
        <v>24.0</v>
      </c>
      <c r="D202" s="127">
        <v>24.0</v>
      </c>
      <c r="E202" s="100">
        <v>24.0</v>
      </c>
      <c r="F202" s="100">
        <v>24.0</v>
      </c>
      <c r="G202" s="100">
        <v>24.0</v>
      </c>
      <c r="H202" s="100">
        <v>3.0</v>
      </c>
      <c r="I202" s="61"/>
      <c r="J202" s="128"/>
      <c r="K202" s="128"/>
      <c r="L202" s="61"/>
      <c r="M202" s="61"/>
      <c r="N202" s="61"/>
      <c r="O202" s="61"/>
      <c r="P202" s="61"/>
      <c r="Q202" s="128"/>
      <c r="R202" s="128"/>
      <c r="S202" s="61"/>
      <c r="T202" s="61"/>
      <c r="U202" s="61"/>
      <c r="V202" s="61"/>
      <c r="W202" s="100"/>
      <c r="X202" s="127"/>
      <c r="Y202" s="127"/>
      <c r="Z202" s="100"/>
      <c r="AA202" s="61"/>
      <c r="AB202" s="61"/>
      <c r="AC202" s="61"/>
      <c r="AD202" s="100">
        <v>20.0</v>
      </c>
      <c r="AE202" s="127">
        <v>24.0</v>
      </c>
      <c r="AF202" s="127">
        <v>24.0</v>
      </c>
      <c r="AH202" s="40"/>
      <c r="AI202" s="64">
        <f t="shared" si="11"/>
        <v>191</v>
      </c>
      <c r="AJ202" s="65"/>
      <c r="AK202" s="65"/>
      <c r="AL202" s="66"/>
      <c r="AM202" s="36">
        <f t="array" ref="AM202:AP202">AI202:AL202/4</f>
        <v>47.75</v>
      </c>
      <c r="AN202" s="65"/>
      <c r="AO202" s="65"/>
      <c r="AP202" s="66"/>
      <c r="AQ202" s="46"/>
    </row>
    <row r="203" ht="15.75" customHeight="1">
      <c r="A203" s="67"/>
      <c r="B203" s="68" t="s">
        <v>18</v>
      </c>
      <c r="C203" s="125">
        <v>24.0</v>
      </c>
      <c r="D203" s="125">
        <v>24.0</v>
      </c>
      <c r="E203" s="101">
        <v>24.0</v>
      </c>
      <c r="F203" s="101">
        <v>24.0</v>
      </c>
      <c r="G203" s="101">
        <v>24.0</v>
      </c>
      <c r="H203" s="101">
        <v>3.0</v>
      </c>
      <c r="I203" s="53"/>
      <c r="J203" s="126"/>
      <c r="K203" s="126"/>
      <c r="L203" s="53"/>
      <c r="M203" s="53"/>
      <c r="N203" s="53"/>
      <c r="O203" s="101"/>
      <c r="P203" s="53"/>
      <c r="Q203" s="126"/>
      <c r="R203" s="125"/>
      <c r="S203" s="101"/>
      <c r="T203" s="101"/>
      <c r="U203" s="101"/>
      <c r="V203" s="53"/>
      <c r="W203" s="101"/>
      <c r="X203" s="125"/>
      <c r="Y203" s="125"/>
      <c r="Z203" s="101"/>
      <c r="AA203" s="53"/>
      <c r="AB203" s="53"/>
      <c r="AC203" s="53"/>
      <c r="AD203" s="101">
        <v>20.0</v>
      </c>
      <c r="AE203" s="125">
        <v>24.0</v>
      </c>
      <c r="AF203" s="125">
        <v>24.0</v>
      </c>
      <c r="AH203" s="40"/>
      <c r="AI203" s="39">
        <f t="shared" si="11"/>
        <v>191</v>
      </c>
      <c r="AJ203" s="41"/>
      <c r="AK203" s="41"/>
      <c r="AL203" s="42"/>
      <c r="AM203" s="43">
        <f t="array" ref="AM203:AP203">AI203:AL203/4</f>
        <v>47.75</v>
      </c>
      <c r="AN203" s="44"/>
      <c r="AO203" s="44"/>
      <c r="AP203" s="45"/>
      <c r="AQ203" s="46"/>
    </row>
    <row r="204" ht="15.75" customHeight="1">
      <c r="A204" s="32"/>
      <c r="B204" s="68"/>
      <c r="C204" s="134"/>
      <c r="D204" s="126"/>
      <c r="E204" s="53"/>
      <c r="F204" s="53"/>
      <c r="G204" s="53"/>
      <c r="H204" s="53"/>
      <c r="I204" s="53"/>
      <c r="J204" s="126"/>
      <c r="K204" s="126"/>
      <c r="L204" s="53"/>
      <c r="M204" s="53"/>
      <c r="N204" s="53"/>
      <c r="O204" s="53"/>
      <c r="P204" s="53"/>
      <c r="Q204" s="126"/>
      <c r="R204" s="126"/>
      <c r="S204" s="53"/>
      <c r="T204" s="53"/>
      <c r="U204" s="53"/>
      <c r="V204" s="53"/>
      <c r="W204" s="53"/>
      <c r="X204" s="135"/>
      <c r="Y204" s="135"/>
      <c r="Z204" s="53"/>
      <c r="AA204" s="53"/>
      <c r="AB204" s="53"/>
      <c r="AC204" s="53"/>
      <c r="AD204" s="53"/>
      <c r="AE204" s="135"/>
      <c r="AF204" s="135"/>
      <c r="AH204" s="40"/>
      <c r="AI204" s="55">
        <f t="shared" si="11"/>
        <v>0</v>
      </c>
      <c r="AJ204" s="56"/>
      <c r="AK204" s="56"/>
      <c r="AL204" s="57"/>
      <c r="AM204" s="40">
        <f t="array" ref="AM204:AP204">AI204:AL204/4</f>
        <v>0</v>
      </c>
      <c r="AP204" s="74"/>
      <c r="AQ204" s="46"/>
    </row>
    <row r="205" ht="14.25" customHeight="1">
      <c r="A205" s="75" t="s">
        <v>11</v>
      </c>
      <c r="B205" s="76" t="s">
        <v>12</v>
      </c>
      <c r="C205" s="136"/>
      <c r="D205" s="128"/>
      <c r="E205" s="61"/>
      <c r="F205" s="61"/>
      <c r="G205" s="61"/>
      <c r="H205" s="100"/>
      <c r="I205" s="100">
        <v>9.0</v>
      </c>
      <c r="J205" s="128"/>
      <c r="K205" s="127">
        <v>12.0</v>
      </c>
      <c r="L205" s="61"/>
      <c r="M205" s="100"/>
      <c r="N205" s="100">
        <v>12.0</v>
      </c>
      <c r="O205" s="100">
        <v>6.0</v>
      </c>
      <c r="P205" s="61"/>
      <c r="Q205" s="128"/>
      <c r="R205" s="128"/>
      <c r="S205" s="61"/>
      <c r="T205" s="100">
        <v>12.0</v>
      </c>
      <c r="U205" s="61"/>
      <c r="V205" s="61"/>
      <c r="W205" s="61"/>
      <c r="X205" s="128"/>
      <c r="Y205" s="127">
        <v>12.0</v>
      </c>
      <c r="Z205" s="61"/>
      <c r="AA205" s="100">
        <v>9.0</v>
      </c>
      <c r="AB205" s="100">
        <v>12.0</v>
      </c>
      <c r="AC205" s="100"/>
      <c r="AD205" s="100">
        <v>4.0</v>
      </c>
      <c r="AE205" s="137"/>
      <c r="AF205" s="137"/>
      <c r="AH205" s="40"/>
      <c r="AI205" s="64">
        <f t="shared" si="11"/>
        <v>88</v>
      </c>
      <c r="AJ205" s="65"/>
      <c r="AK205" s="65"/>
      <c r="AL205" s="66"/>
      <c r="AM205" s="36">
        <f t="array" ref="AM205:AP205">AI205:AL205/4</f>
        <v>22</v>
      </c>
      <c r="AN205" s="65"/>
      <c r="AO205" s="65"/>
      <c r="AP205" s="66"/>
      <c r="AQ205" s="46"/>
    </row>
    <row r="206" ht="15.75" customHeight="1">
      <c r="A206" s="47"/>
      <c r="B206" s="78" t="s">
        <v>13</v>
      </c>
      <c r="C206" s="138"/>
      <c r="D206" s="123"/>
      <c r="E206" s="49"/>
      <c r="F206" s="49"/>
      <c r="G206" s="49"/>
      <c r="H206" s="49"/>
      <c r="I206" s="49"/>
      <c r="J206" s="123"/>
      <c r="K206" s="123"/>
      <c r="L206" s="49"/>
      <c r="M206" s="49"/>
      <c r="N206" s="49"/>
      <c r="O206" s="49"/>
      <c r="P206" s="49"/>
      <c r="Q206" s="123"/>
      <c r="R206" s="123"/>
      <c r="S206" s="49"/>
      <c r="T206" s="49"/>
      <c r="U206" s="49"/>
      <c r="V206" s="49"/>
      <c r="W206" s="49"/>
      <c r="X206" s="128"/>
      <c r="Y206" s="128"/>
      <c r="Z206" s="49"/>
      <c r="AA206" s="49"/>
      <c r="AB206" s="49"/>
      <c r="AC206" s="49"/>
      <c r="AD206" s="49"/>
      <c r="AE206" s="139"/>
      <c r="AF206" s="139"/>
      <c r="AH206" s="40"/>
      <c r="AI206" s="39">
        <f t="shared" si="11"/>
        <v>0</v>
      </c>
      <c r="AJ206" s="41"/>
      <c r="AK206" s="41"/>
      <c r="AL206" s="42"/>
      <c r="AM206" s="43">
        <f t="array" ref="AM206:AP206">AI206:AL206/4</f>
        <v>0</v>
      </c>
      <c r="AN206" s="44"/>
      <c r="AO206" s="44"/>
      <c r="AP206" s="45"/>
      <c r="AQ206" s="46"/>
    </row>
    <row r="207" ht="15.75" customHeight="1">
      <c r="A207" s="47"/>
      <c r="B207" s="78" t="s">
        <v>14</v>
      </c>
      <c r="C207" s="43"/>
      <c r="D207" s="49"/>
      <c r="E207" s="49"/>
      <c r="F207" s="49"/>
      <c r="G207" s="49"/>
      <c r="H207" s="49"/>
      <c r="I207" s="49"/>
      <c r="J207" s="123"/>
      <c r="K207" s="123"/>
      <c r="L207" s="49"/>
      <c r="M207" s="49"/>
      <c r="N207" s="49"/>
      <c r="O207" s="49"/>
      <c r="P207" s="49"/>
      <c r="Q207" s="123"/>
      <c r="R207" s="123"/>
      <c r="S207" s="49"/>
      <c r="T207" s="49"/>
      <c r="U207" s="49"/>
      <c r="V207" s="49"/>
      <c r="W207" s="49"/>
      <c r="X207" s="123"/>
      <c r="Y207" s="123"/>
      <c r="Z207" s="49"/>
      <c r="AA207" s="49"/>
      <c r="AB207" s="49"/>
      <c r="AC207" s="49"/>
      <c r="AD207" s="49"/>
      <c r="AE207" s="139"/>
      <c r="AF207" s="139"/>
      <c r="AH207" s="40"/>
      <c r="AI207" s="39">
        <f t="shared" si="11"/>
        <v>0</v>
      </c>
      <c r="AJ207" s="41"/>
      <c r="AK207" s="41"/>
      <c r="AL207" s="42"/>
      <c r="AM207" s="43">
        <f t="array" ref="AM207:AP207">AI207:AL207/4</f>
        <v>0</v>
      </c>
      <c r="AN207" s="44"/>
      <c r="AO207" s="44"/>
      <c r="AP207" s="45"/>
      <c r="AQ207" s="46"/>
    </row>
    <row r="208" ht="15.75" customHeight="1">
      <c r="A208" s="47"/>
      <c r="B208" s="78"/>
      <c r="C208" s="43"/>
      <c r="D208" s="49"/>
      <c r="E208" s="49"/>
      <c r="F208" s="49"/>
      <c r="G208" s="49"/>
      <c r="H208" s="49"/>
      <c r="I208" s="49"/>
      <c r="J208" s="123"/>
      <c r="K208" s="123"/>
      <c r="L208" s="49"/>
      <c r="M208" s="49"/>
      <c r="N208" s="49"/>
      <c r="O208" s="49"/>
      <c r="P208" s="49"/>
      <c r="Q208" s="123"/>
      <c r="R208" s="123"/>
      <c r="S208" s="49"/>
      <c r="T208" s="49"/>
      <c r="U208" s="49"/>
      <c r="V208" s="49"/>
      <c r="W208" s="49"/>
      <c r="X208" s="123"/>
      <c r="Y208" s="123"/>
      <c r="Z208" s="49"/>
      <c r="AA208" s="49"/>
      <c r="AB208" s="49"/>
      <c r="AC208" s="49"/>
      <c r="AD208" s="49"/>
      <c r="AE208" s="123"/>
      <c r="AF208" s="133"/>
      <c r="AH208" s="40"/>
      <c r="AI208" s="39">
        <f t="shared" si="11"/>
        <v>0</v>
      </c>
      <c r="AJ208" s="41"/>
      <c r="AK208" s="41"/>
      <c r="AL208" s="42"/>
      <c r="AM208" s="43">
        <f t="array" ref="AM208:AP208">AI208:AL208/4</f>
        <v>0</v>
      </c>
      <c r="AN208" s="44"/>
      <c r="AO208" s="44"/>
      <c r="AP208" s="45"/>
      <c r="AQ208" s="46"/>
    </row>
    <row r="209" ht="15.75" customHeight="1">
      <c r="A209" s="47"/>
      <c r="B209" s="78"/>
      <c r="C209" s="43"/>
      <c r="D209" s="49"/>
      <c r="E209" s="51"/>
      <c r="G209" s="49"/>
      <c r="H209" s="49"/>
      <c r="I209" s="49"/>
      <c r="J209" s="123"/>
      <c r="K209" s="123"/>
      <c r="L209" s="49"/>
      <c r="M209" s="49"/>
      <c r="N209" s="49"/>
      <c r="O209" s="49"/>
      <c r="P209" s="49"/>
      <c r="Q209" s="124"/>
      <c r="R209" s="123"/>
      <c r="S209" s="49"/>
      <c r="T209" s="99">
        <v>12.0</v>
      </c>
      <c r="U209" s="49"/>
      <c r="V209" s="49"/>
      <c r="W209" s="49"/>
      <c r="X209" s="123"/>
      <c r="Y209" s="123"/>
      <c r="Z209" s="49"/>
      <c r="AA209" s="49"/>
      <c r="AB209" s="49"/>
      <c r="AC209" s="49"/>
      <c r="AD209" s="49"/>
      <c r="AE209" s="123"/>
      <c r="AF209" s="133"/>
      <c r="AH209" s="40"/>
      <c r="AI209" s="39">
        <f t="shared" si="11"/>
        <v>12</v>
      </c>
      <c r="AJ209" s="41"/>
      <c r="AK209" s="41"/>
      <c r="AL209" s="42"/>
      <c r="AM209" s="43">
        <f t="array" ref="AM209:AP209">AI209:AL209/4</f>
        <v>3</v>
      </c>
      <c r="AN209" s="44"/>
      <c r="AO209" s="44"/>
      <c r="AP209" s="45"/>
      <c r="AQ209" s="46"/>
    </row>
    <row r="210" ht="15.75" customHeight="1">
      <c r="A210" s="30"/>
      <c r="B210" s="79" t="s">
        <v>15</v>
      </c>
      <c r="C210" s="69"/>
      <c r="D210" s="80"/>
      <c r="E210" s="80"/>
      <c r="F210" s="80"/>
      <c r="G210" s="80"/>
      <c r="H210" s="103">
        <v>9.0</v>
      </c>
      <c r="I210" s="103"/>
      <c r="J210" s="129">
        <v>9.0</v>
      </c>
      <c r="K210" s="129">
        <v>9.0</v>
      </c>
      <c r="L210" s="103">
        <v>9.0</v>
      </c>
      <c r="M210" s="103">
        <v>9.0</v>
      </c>
      <c r="N210" s="103">
        <v>9.0</v>
      </c>
      <c r="O210" s="103"/>
      <c r="P210" s="103">
        <v>9.0</v>
      </c>
      <c r="Q210" s="129">
        <v>9.0</v>
      </c>
      <c r="R210" s="140"/>
      <c r="S210" s="103">
        <v>9.0</v>
      </c>
      <c r="T210" s="103"/>
      <c r="U210" s="103">
        <v>9.0</v>
      </c>
      <c r="V210" s="80"/>
      <c r="W210" s="103">
        <v>9.0</v>
      </c>
      <c r="X210" s="129">
        <v>9.0</v>
      </c>
      <c r="Y210" s="129">
        <v>9.0</v>
      </c>
      <c r="Z210" s="103">
        <v>9.0</v>
      </c>
      <c r="AA210" s="103"/>
      <c r="AB210" s="103">
        <v>9.0</v>
      </c>
      <c r="AC210" s="103">
        <v>11.0</v>
      </c>
      <c r="AD210" s="103">
        <v>4.0</v>
      </c>
      <c r="AE210" s="140"/>
      <c r="AF210" s="140"/>
      <c r="AG210" s="41"/>
      <c r="AH210" s="40">
        <f>SUM(AI194:AL210)</f>
        <v>1372</v>
      </c>
      <c r="AI210" s="55">
        <f t="shared" si="11"/>
        <v>150</v>
      </c>
      <c r="AJ210" s="56"/>
      <c r="AK210" s="56"/>
      <c r="AL210" s="57"/>
      <c r="AM210" s="43">
        <f t="array" ref="AM210:AP210">AI210:AL210/4</f>
        <v>37.5</v>
      </c>
      <c r="AN210" s="44"/>
      <c r="AO210" s="44"/>
      <c r="AP210" s="45"/>
      <c r="AQ210" s="46"/>
    </row>
    <row r="211" ht="15.75" customHeight="1">
      <c r="A211" s="4" t="s">
        <v>32</v>
      </c>
      <c r="B211" s="5"/>
      <c r="C211" s="6">
        <v>1.0</v>
      </c>
      <c r="D211" s="13">
        <v>2.0</v>
      </c>
      <c r="E211" s="14">
        <v>3.0</v>
      </c>
      <c r="F211" s="9">
        <v>4.0</v>
      </c>
      <c r="G211" s="9">
        <v>5.0</v>
      </c>
      <c r="H211" s="10">
        <v>6.0</v>
      </c>
      <c r="I211" s="11">
        <v>7.0</v>
      </c>
      <c r="J211" s="12">
        <v>8.0</v>
      </c>
      <c r="K211" s="13">
        <v>9.0</v>
      </c>
      <c r="L211" s="14">
        <v>10.0</v>
      </c>
      <c r="M211" s="9">
        <v>11.0</v>
      </c>
      <c r="N211" s="9">
        <v>12.0</v>
      </c>
      <c r="O211" s="10">
        <v>13.0</v>
      </c>
      <c r="P211" s="11">
        <v>14.0</v>
      </c>
      <c r="Q211" s="12">
        <v>15.0</v>
      </c>
      <c r="R211" s="11">
        <v>16.0</v>
      </c>
      <c r="S211" s="9">
        <v>17.0</v>
      </c>
      <c r="T211" s="9">
        <v>18.0</v>
      </c>
      <c r="U211" s="9">
        <v>19.0</v>
      </c>
      <c r="V211" s="15">
        <v>20.0</v>
      </c>
      <c r="W211" s="16">
        <v>21.0</v>
      </c>
      <c r="X211" s="17">
        <v>22.0</v>
      </c>
      <c r="Y211" s="7">
        <v>23.0</v>
      </c>
      <c r="Z211" s="8">
        <v>24.0</v>
      </c>
      <c r="AA211" s="8">
        <v>25.0</v>
      </c>
      <c r="AB211" s="8">
        <v>26.0</v>
      </c>
      <c r="AC211" s="15">
        <v>27.0</v>
      </c>
      <c r="AD211" s="16">
        <v>28.0</v>
      </c>
      <c r="AE211" s="10">
        <v>29.0</v>
      </c>
      <c r="AF211" s="11">
        <v>30.0</v>
      </c>
      <c r="AG211" s="97">
        <v>31.0</v>
      </c>
      <c r="AH211" s="21"/>
      <c r="AI211" s="22" t="s">
        <v>1</v>
      </c>
      <c r="AJ211" s="5"/>
      <c r="AK211" s="5"/>
      <c r="AL211" s="5"/>
      <c r="AM211" s="22" t="s">
        <v>2</v>
      </c>
      <c r="AN211" s="5"/>
      <c r="AO211" s="5"/>
      <c r="AP211" s="23"/>
      <c r="AQ211" s="24"/>
    </row>
    <row r="212" ht="15.75" customHeight="1">
      <c r="A212" s="25"/>
      <c r="B212" s="2"/>
      <c r="C212" s="26"/>
      <c r="D212" s="27"/>
      <c r="E212" s="28"/>
      <c r="F212" s="28"/>
      <c r="G212" s="28"/>
      <c r="H212" s="29"/>
      <c r="I212" s="30"/>
      <c r="J212" s="31"/>
      <c r="K212" s="27"/>
      <c r="L212" s="28"/>
      <c r="M212" s="28"/>
      <c r="N212" s="28"/>
      <c r="O212" s="29"/>
      <c r="P212" s="30"/>
      <c r="Q212" s="31"/>
      <c r="R212" s="30"/>
      <c r="S212" s="28"/>
      <c r="T212" s="28"/>
      <c r="U212" s="28"/>
      <c r="V212" s="29"/>
      <c r="W212" s="30"/>
      <c r="X212" s="31"/>
      <c r="Y212" s="27"/>
      <c r="Z212" s="28"/>
      <c r="AA212" s="28"/>
      <c r="AB212" s="28"/>
      <c r="AC212" s="29"/>
      <c r="AD212" s="30"/>
      <c r="AE212" s="29"/>
      <c r="AF212" s="30"/>
      <c r="AG212" s="98"/>
      <c r="AH212" s="21"/>
      <c r="AI212" s="25"/>
      <c r="AJ212" s="2"/>
      <c r="AK212" s="2"/>
      <c r="AL212" s="2"/>
      <c r="AM212" s="25"/>
      <c r="AN212" s="2"/>
      <c r="AO212" s="2"/>
      <c r="AP212" s="33"/>
      <c r="AQ212" s="24"/>
    </row>
    <row r="213" ht="15.75" customHeight="1">
      <c r="A213" s="34" t="s">
        <v>3</v>
      </c>
      <c r="B213" s="35" t="s">
        <v>4</v>
      </c>
      <c r="C213" s="106" t="s">
        <v>21</v>
      </c>
      <c r="D213" s="106" t="s">
        <v>21</v>
      </c>
      <c r="E213" s="106" t="s">
        <v>21</v>
      </c>
      <c r="F213" s="106" t="s">
        <v>21</v>
      </c>
      <c r="G213" s="106" t="s">
        <v>21</v>
      </c>
      <c r="H213" s="106" t="s">
        <v>21</v>
      </c>
      <c r="I213" s="106" t="s">
        <v>21</v>
      </c>
      <c r="J213" s="106">
        <v>12.0</v>
      </c>
      <c r="K213" s="106">
        <v>12.0</v>
      </c>
      <c r="L213" s="106">
        <v>12.0</v>
      </c>
      <c r="M213" s="106"/>
      <c r="N213" s="106">
        <v>12.0</v>
      </c>
      <c r="O213" s="121">
        <v>12.0</v>
      </c>
      <c r="P213" s="121">
        <v>12.0</v>
      </c>
      <c r="Q213" s="106"/>
      <c r="R213" s="106">
        <v>12.0</v>
      </c>
      <c r="S213" s="106">
        <v>12.0</v>
      </c>
      <c r="T213" s="106"/>
      <c r="U213" s="37"/>
      <c r="V213" s="122"/>
      <c r="W213" s="122"/>
      <c r="X213" s="37"/>
      <c r="Y213" s="106">
        <v>12.0</v>
      </c>
      <c r="Z213" s="106">
        <v>9.0</v>
      </c>
      <c r="AA213" s="106">
        <v>4.0</v>
      </c>
      <c r="AB213" s="106">
        <v>9.0</v>
      </c>
      <c r="AC213" s="121"/>
      <c r="AD213" s="121"/>
      <c r="AE213" s="106"/>
      <c r="AF213" s="113"/>
      <c r="AG213" s="39"/>
      <c r="AH213" s="40"/>
      <c r="AI213" s="39">
        <f t="shared" ref="AI213:AI229" si="12">SUM(C213:AG213)</f>
        <v>130</v>
      </c>
      <c r="AJ213" s="41"/>
      <c r="AK213" s="41"/>
      <c r="AL213" s="42"/>
      <c r="AM213" s="43">
        <f t="array" ref="AM213:AP213">AI213:AL213/4</f>
        <v>32.5</v>
      </c>
      <c r="AN213" s="44"/>
      <c r="AO213" s="44"/>
      <c r="AP213" s="45"/>
      <c r="AQ213" s="46"/>
    </row>
    <row r="214" ht="15.75" customHeight="1">
      <c r="A214" s="47"/>
      <c r="B214" s="48" t="s">
        <v>5</v>
      </c>
      <c r="C214" s="43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123"/>
      <c r="P214" s="123"/>
      <c r="Q214" s="49"/>
      <c r="R214" s="49"/>
      <c r="S214" s="49"/>
      <c r="T214" s="49"/>
      <c r="U214" s="49"/>
      <c r="V214" s="123"/>
      <c r="W214" s="123"/>
      <c r="X214" s="49"/>
      <c r="Y214" s="49"/>
      <c r="Z214" s="49"/>
      <c r="AA214" s="49"/>
      <c r="AB214" s="49"/>
      <c r="AC214" s="123"/>
      <c r="AD214" s="123"/>
      <c r="AE214" s="49"/>
      <c r="AF214" s="94"/>
      <c r="AG214" s="50"/>
      <c r="AH214" s="40"/>
      <c r="AI214" s="39">
        <f t="shared" si="12"/>
        <v>0</v>
      </c>
      <c r="AJ214" s="41"/>
      <c r="AK214" s="41"/>
      <c r="AL214" s="42"/>
      <c r="AM214" s="43">
        <f t="array" ref="AM214:AP214">AI214:AL214/4</f>
        <v>0</v>
      </c>
      <c r="AN214" s="44"/>
      <c r="AO214" s="44"/>
      <c r="AP214" s="45"/>
      <c r="AQ214" s="46"/>
    </row>
    <row r="215" ht="15.75" customHeight="1">
      <c r="A215" s="47"/>
      <c r="B215" s="114" t="s">
        <v>30</v>
      </c>
      <c r="C215" s="43"/>
      <c r="D215" s="99"/>
      <c r="E215" s="99"/>
      <c r="F215" s="49"/>
      <c r="G215" s="49"/>
      <c r="H215" s="99"/>
      <c r="I215" s="99">
        <v>12.0</v>
      </c>
      <c r="J215" s="99">
        <v>12.0</v>
      </c>
      <c r="K215" s="101"/>
      <c r="L215" s="101">
        <v>12.0</v>
      </c>
      <c r="M215" s="99">
        <v>12.0</v>
      </c>
      <c r="N215" s="99">
        <v>12.0</v>
      </c>
      <c r="O215" s="125">
        <v>12.0</v>
      </c>
      <c r="P215" s="125"/>
      <c r="Q215" s="101">
        <v>12.0</v>
      </c>
      <c r="R215" s="99">
        <v>12.0</v>
      </c>
      <c r="S215" s="99">
        <v>12.0</v>
      </c>
      <c r="T215" s="99"/>
      <c r="U215" s="99"/>
      <c r="V215" s="124"/>
      <c r="W215" s="124"/>
      <c r="X215" s="99">
        <v>12.0</v>
      </c>
      <c r="Y215" s="99">
        <v>12.0</v>
      </c>
      <c r="Z215" s="101">
        <v>12.0</v>
      </c>
      <c r="AA215" s="101">
        <v>12.0</v>
      </c>
      <c r="AB215" s="99"/>
      <c r="AC215" s="124">
        <v>12.0</v>
      </c>
      <c r="AD215" s="125">
        <v>12.0</v>
      </c>
      <c r="AE215" s="101">
        <v>11.0</v>
      </c>
      <c r="AF215" s="101"/>
      <c r="AG215" s="99"/>
      <c r="AH215" s="40"/>
      <c r="AI215" s="39">
        <f t="shared" si="12"/>
        <v>191</v>
      </c>
      <c r="AJ215" s="41"/>
      <c r="AK215" s="41"/>
      <c r="AL215" s="42"/>
      <c r="AM215" s="43">
        <f t="array" ref="AM215:AP215">AI215:AL215/4</f>
        <v>47.75</v>
      </c>
      <c r="AN215" s="44"/>
      <c r="AO215" s="44"/>
      <c r="AP215" s="45"/>
      <c r="AQ215" s="46"/>
    </row>
    <row r="216" ht="15.75" customHeight="1">
      <c r="A216" s="47"/>
      <c r="B216" s="141" t="s">
        <v>33</v>
      </c>
      <c r="C216" s="142"/>
      <c r="D216" s="124"/>
      <c r="E216" s="124"/>
      <c r="F216" s="124"/>
      <c r="G216" s="124"/>
      <c r="H216" s="124"/>
      <c r="I216" s="124">
        <v>12.0</v>
      </c>
      <c r="J216" s="124"/>
      <c r="K216" s="124">
        <v>12.0</v>
      </c>
      <c r="L216" s="125">
        <v>12.0</v>
      </c>
      <c r="M216" s="125">
        <v>12.0</v>
      </c>
      <c r="N216" s="125"/>
      <c r="O216" s="124"/>
      <c r="P216" s="124">
        <v>12.0</v>
      </c>
      <c r="Q216" s="124">
        <v>12.0</v>
      </c>
      <c r="R216" s="124"/>
      <c r="S216" s="124"/>
      <c r="T216" s="124"/>
      <c r="U216" s="124"/>
      <c r="V216" s="124"/>
      <c r="W216" s="124"/>
      <c r="X216" s="124"/>
      <c r="Y216" s="124"/>
      <c r="Z216" s="124">
        <v>12.0</v>
      </c>
      <c r="AA216" s="125">
        <v>12.0</v>
      </c>
      <c r="AB216" s="125">
        <v>12.0</v>
      </c>
      <c r="AC216" s="125"/>
      <c r="AD216" s="124"/>
      <c r="AE216" s="124">
        <v>11.0</v>
      </c>
      <c r="AF216" s="124"/>
      <c r="AG216" s="143"/>
      <c r="AH216" s="144"/>
      <c r="AI216" s="145">
        <f t="shared" si="12"/>
        <v>119</v>
      </c>
      <c r="AJ216" s="41"/>
      <c r="AK216" s="41"/>
      <c r="AL216" s="42"/>
      <c r="AM216" s="138">
        <f t="array" ref="AM216:AP216">AI216:AL216/4</f>
        <v>29.75</v>
      </c>
      <c r="AN216" s="44"/>
      <c r="AO216" s="44"/>
      <c r="AP216" s="45"/>
      <c r="AQ216" s="146"/>
    </row>
    <row r="217" ht="15.75" customHeight="1">
      <c r="A217" s="47"/>
      <c r="B217" s="114" t="s">
        <v>25</v>
      </c>
      <c r="C217" s="109"/>
      <c r="D217" s="53"/>
      <c r="E217" s="53"/>
      <c r="F217" s="101"/>
      <c r="G217" s="53"/>
      <c r="H217" s="53"/>
      <c r="I217" s="101"/>
      <c r="J217" s="101">
        <v>12.0</v>
      </c>
      <c r="K217" s="101">
        <v>12.0</v>
      </c>
      <c r="L217" s="101"/>
      <c r="M217" s="53"/>
      <c r="N217" s="101">
        <v>12.0</v>
      </c>
      <c r="O217" s="125">
        <v>12.0</v>
      </c>
      <c r="P217" s="125">
        <v>12.0</v>
      </c>
      <c r="Q217" s="53"/>
      <c r="R217" s="101">
        <v>12.0</v>
      </c>
      <c r="S217" s="101">
        <v>12.0</v>
      </c>
      <c r="T217" s="101"/>
      <c r="U217" s="101"/>
      <c r="V217" s="126"/>
      <c r="W217" s="126"/>
      <c r="X217" s="101">
        <v>12.0</v>
      </c>
      <c r="Y217" s="101">
        <v>12.0</v>
      </c>
      <c r="Z217" s="101"/>
      <c r="AA217" s="101"/>
      <c r="AB217" s="101">
        <v>12.0</v>
      </c>
      <c r="AC217" s="125">
        <v>12.0</v>
      </c>
      <c r="AD217" s="125">
        <v>12.0</v>
      </c>
      <c r="AE217" s="53"/>
      <c r="AF217" s="53"/>
      <c r="AG217" s="55"/>
      <c r="AH217" s="40"/>
      <c r="AI217" s="39">
        <f t="shared" si="12"/>
        <v>144</v>
      </c>
      <c r="AJ217" s="41"/>
      <c r="AK217" s="41"/>
      <c r="AL217" s="42"/>
      <c r="AM217" s="43">
        <f t="array" ref="AM217:AP217">AI217:AL217/4</f>
        <v>36</v>
      </c>
      <c r="AN217" s="44"/>
      <c r="AO217" s="44"/>
      <c r="AP217" s="45"/>
      <c r="AQ217" s="46"/>
    </row>
    <row r="218" ht="15.75" customHeight="1">
      <c r="A218" s="47"/>
      <c r="B218" s="114" t="s">
        <v>34</v>
      </c>
      <c r="C218" s="52"/>
      <c r="D218" s="53"/>
      <c r="E218" s="53"/>
      <c r="F218" s="53"/>
      <c r="G218" s="53"/>
      <c r="H218" s="53"/>
      <c r="I218" s="53"/>
      <c r="J218" s="101">
        <v>9.0</v>
      </c>
      <c r="K218" s="101">
        <v>9.0</v>
      </c>
      <c r="L218" s="101">
        <v>9.0</v>
      </c>
      <c r="M218" s="53"/>
      <c r="N218" s="53"/>
      <c r="O218" s="126"/>
      <c r="P218" s="126"/>
      <c r="Q218" s="101">
        <v>9.0</v>
      </c>
      <c r="R218" s="101">
        <v>9.0</v>
      </c>
      <c r="S218" s="101">
        <v>9.0</v>
      </c>
      <c r="T218" s="53"/>
      <c r="U218" s="53"/>
      <c r="V218" s="126"/>
      <c r="W218" s="126"/>
      <c r="X218" s="53"/>
      <c r="Y218" s="101">
        <v>9.0</v>
      </c>
      <c r="Z218" s="101">
        <v>12.0</v>
      </c>
      <c r="AA218" s="53"/>
      <c r="AB218" s="53"/>
      <c r="AC218" s="126"/>
      <c r="AD218" s="126"/>
      <c r="AE218" s="53"/>
      <c r="AF218" s="53"/>
      <c r="AG218" s="55"/>
      <c r="AH218" s="40"/>
      <c r="AI218" s="39">
        <f t="shared" si="12"/>
        <v>75</v>
      </c>
      <c r="AJ218" s="41"/>
      <c r="AK218" s="41"/>
      <c r="AL218" s="42"/>
      <c r="AM218" s="43">
        <f t="array" ref="AM218:AP218">AI218:AL218/4</f>
        <v>18.75</v>
      </c>
      <c r="AN218" s="44"/>
      <c r="AO218" s="44"/>
      <c r="AP218" s="45"/>
      <c r="AQ218" s="46"/>
    </row>
    <row r="219" ht="15.75" customHeight="1">
      <c r="A219" s="47"/>
      <c r="B219" s="48"/>
      <c r="C219" s="52"/>
      <c r="D219" s="53"/>
      <c r="E219" s="53"/>
      <c r="F219" s="53"/>
      <c r="G219" s="53"/>
      <c r="H219" s="126"/>
      <c r="I219" s="126"/>
      <c r="J219" s="53"/>
      <c r="K219" s="53"/>
      <c r="L219" s="53"/>
      <c r="M219" s="53"/>
      <c r="N219" s="53"/>
      <c r="O219" s="126"/>
      <c r="P219" s="126"/>
      <c r="Q219" s="53"/>
      <c r="R219" s="53"/>
      <c r="S219" s="53"/>
      <c r="T219" s="53"/>
      <c r="U219" s="53"/>
      <c r="V219" s="126"/>
      <c r="W219" s="126"/>
      <c r="X219" s="53"/>
      <c r="Y219" s="53"/>
      <c r="Z219" s="53"/>
      <c r="AA219" s="53"/>
      <c r="AB219" s="53"/>
      <c r="AC219" s="126"/>
      <c r="AD219" s="126"/>
      <c r="AE219" s="53"/>
      <c r="AF219" s="53"/>
      <c r="AG219" s="55"/>
      <c r="AH219" s="40"/>
      <c r="AI219" s="39">
        <f t="shared" si="12"/>
        <v>0</v>
      </c>
      <c r="AJ219" s="41"/>
      <c r="AK219" s="41"/>
      <c r="AL219" s="42"/>
      <c r="AM219" s="43">
        <f t="array" ref="AM219:AP219">AI219:AL219/4</f>
        <v>0</v>
      </c>
      <c r="AN219" s="44"/>
      <c r="AO219" s="44"/>
      <c r="AP219" s="45"/>
      <c r="AQ219" s="46"/>
    </row>
    <row r="220" ht="15.75" customHeight="1">
      <c r="A220" s="30"/>
      <c r="B220" s="48"/>
      <c r="C220" s="52"/>
      <c r="D220" s="53"/>
      <c r="E220" s="53"/>
      <c r="F220" s="53"/>
      <c r="G220" s="53"/>
      <c r="H220" s="126"/>
      <c r="I220" s="126"/>
      <c r="J220" s="53"/>
      <c r="K220" s="53"/>
      <c r="L220" s="53"/>
      <c r="M220" s="53"/>
      <c r="N220" s="53"/>
      <c r="O220" s="126"/>
      <c r="P220" s="126"/>
      <c r="Q220" s="53"/>
      <c r="R220" s="53"/>
      <c r="S220" s="53"/>
      <c r="T220" s="53"/>
      <c r="U220" s="53"/>
      <c r="V220" s="126"/>
      <c r="W220" s="126"/>
      <c r="X220" s="53"/>
      <c r="Y220" s="53"/>
      <c r="Z220" s="53"/>
      <c r="AA220" s="53"/>
      <c r="AB220" s="53"/>
      <c r="AC220" s="126"/>
      <c r="AD220" s="126"/>
      <c r="AE220" s="53"/>
      <c r="AF220" s="53"/>
      <c r="AG220" s="55"/>
      <c r="AH220" s="40"/>
      <c r="AI220" s="55">
        <f t="shared" si="12"/>
        <v>0</v>
      </c>
      <c r="AJ220" s="56"/>
      <c r="AK220" s="56"/>
      <c r="AL220" s="57"/>
      <c r="AM220" s="52">
        <f t="array" ref="AM220:AP220">AI220:AL220/4</f>
        <v>0</v>
      </c>
      <c r="AN220" s="56"/>
      <c r="AO220" s="56"/>
      <c r="AP220" s="57"/>
      <c r="AQ220" s="46"/>
    </row>
    <row r="221" ht="15.75" customHeight="1">
      <c r="A221" s="58" t="s">
        <v>8</v>
      </c>
      <c r="B221" s="59" t="s">
        <v>9</v>
      </c>
      <c r="C221" s="102">
        <v>24.0</v>
      </c>
      <c r="D221" s="100">
        <v>24.0</v>
      </c>
      <c r="E221" s="100">
        <v>24.0</v>
      </c>
      <c r="F221" s="100">
        <v>24.0</v>
      </c>
      <c r="G221" s="100">
        <v>24.0</v>
      </c>
      <c r="H221" s="127">
        <v>24.0</v>
      </c>
      <c r="I221" s="127">
        <v>12.0</v>
      </c>
      <c r="J221" s="61"/>
      <c r="K221" s="61"/>
      <c r="L221" s="61"/>
      <c r="M221" s="61"/>
      <c r="N221" s="62"/>
      <c r="O221" s="147"/>
      <c r="P221" s="147"/>
      <c r="Q221" s="110"/>
      <c r="R221" s="148"/>
      <c r="S221" s="147"/>
      <c r="T221" s="62">
        <v>24.0</v>
      </c>
      <c r="U221" s="62">
        <v>24.0</v>
      </c>
      <c r="V221" s="147">
        <v>24.0</v>
      </c>
      <c r="W221" s="147">
        <v>24.0</v>
      </c>
      <c r="X221" s="149">
        <v>12.0</v>
      </c>
      <c r="Y221" s="150"/>
      <c r="Z221" s="61"/>
      <c r="AA221" s="116"/>
      <c r="AB221" s="110"/>
      <c r="AC221" s="147"/>
      <c r="AD221" s="147"/>
      <c r="AE221" s="63"/>
      <c r="AF221" s="110">
        <v>25.0</v>
      </c>
      <c r="AG221" s="100">
        <v>24.0</v>
      </c>
      <c r="AH221" s="40"/>
      <c r="AI221" s="64">
        <f t="shared" si="12"/>
        <v>313</v>
      </c>
      <c r="AJ221" s="65"/>
      <c r="AK221" s="65"/>
      <c r="AL221" s="66"/>
      <c r="AM221" s="36">
        <f t="array" ref="AM221:AP221">AI221:AL221/4</f>
        <v>78.25</v>
      </c>
      <c r="AN221" s="65"/>
      <c r="AO221" s="65"/>
      <c r="AP221" s="66"/>
      <c r="AQ221" s="46"/>
    </row>
    <row r="222" ht="15.75" customHeight="1">
      <c r="A222" s="67"/>
      <c r="B222" s="68" t="s">
        <v>18</v>
      </c>
      <c r="C222" s="109">
        <v>24.0</v>
      </c>
      <c r="D222" s="101">
        <v>24.0</v>
      </c>
      <c r="E222" s="101">
        <v>24.0</v>
      </c>
      <c r="F222" s="101">
        <v>24.0</v>
      </c>
      <c r="G222" s="101">
        <v>24.0</v>
      </c>
      <c r="H222" s="125">
        <v>24.0</v>
      </c>
      <c r="I222" s="125">
        <v>12.0</v>
      </c>
      <c r="J222" s="53"/>
      <c r="K222" s="53"/>
      <c r="L222" s="53"/>
      <c r="M222" s="53"/>
      <c r="N222" s="88"/>
      <c r="O222" s="151"/>
      <c r="P222" s="151"/>
      <c r="Q222" s="111"/>
      <c r="R222" s="152"/>
      <c r="S222" s="151"/>
      <c r="T222" s="88">
        <v>24.0</v>
      </c>
      <c r="U222" s="88">
        <v>24.0</v>
      </c>
      <c r="V222" s="151">
        <v>24.0</v>
      </c>
      <c r="W222" s="151">
        <v>24.0</v>
      </c>
      <c r="X222" s="153">
        <v>12.0</v>
      </c>
      <c r="Y222" s="154"/>
      <c r="Z222" s="53"/>
      <c r="AA222" s="88"/>
      <c r="AB222" s="89"/>
      <c r="AC222" s="151"/>
      <c r="AD222" s="151"/>
      <c r="AE222" s="89"/>
      <c r="AF222" s="111">
        <v>25.0</v>
      </c>
      <c r="AG222" s="101">
        <v>24.0</v>
      </c>
      <c r="AH222" s="40"/>
      <c r="AI222" s="39">
        <f t="shared" si="12"/>
        <v>313</v>
      </c>
      <c r="AJ222" s="41"/>
      <c r="AK222" s="41"/>
      <c r="AL222" s="42"/>
      <c r="AM222" s="43">
        <f t="array" ref="AM222:AP222">AI222:AL222/4</f>
        <v>78.25</v>
      </c>
      <c r="AN222" s="44"/>
      <c r="AO222" s="44"/>
      <c r="AP222" s="45"/>
      <c r="AQ222" s="46"/>
    </row>
    <row r="223" ht="15.75" customHeight="1">
      <c r="A223" s="32"/>
      <c r="B223" s="68"/>
      <c r="C223" s="52"/>
      <c r="D223" s="53"/>
      <c r="E223" s="53"/>
      <c r="F223" s="53"/>
      <c r="G223" s="53"/>
      <c r="H223" s="126"/>
      <c r="I223" s="126"/>
      <c r="J223" s="53"/>
      <c r="K223" s="53"/>
      <c r="L223" s="53"/>
      <c r="M223" s="53"/>
      <c r="N223" s="53"/>
      <c r="O223" s="126"/>
      <c r="P223" s="126"/>
      <c r="Q223" s="53"/>
      <c r="R223" s="155"/>
      <c r="S223" s="156"/>
      <c r="T223" s="155"/>
      <c r="U223" s="157"/>
      <c r="V223" s="156"/>
      <c r="W223" s="156"/>
      <c r="X223" s="158"/>
      <c r="Y223" s="158"/>
      <c r="Z223" s="53"/>
      <c r="AA223" s="53"/>
      <c r="AB223" s="53"/>
      <c r="AC223" s="126"/>
      <c r="AD223" s="126"/>
      <c r="AE223" s="53"/>
      <c r="AF223" s="53"/>
      <c r="AG223" s="55"/>
      <c r="AH223" s="40"/>
      <c r="AI223" s="55">
        <f t="shared" si="12"/>
        <v>0</v>
      </c>
      <c r="AJ223" s="56"/>
      <c r="AK223" s="56"/>
      <c r="AL223" s="57"/>
      <c r="AM223" s="40">
        <f t="array" ref="AM223:AP223">AI223:AL223/4</f>
        <v>0</v>
      </c>
      <c r="AP223" s="74"/>
      <c r="AQ223" s="46"/>
    </row>
    <row r="224" ht="14.25" customHeight="1">
      <c r="A224" s="75" t="s">
        <v>11</v>
      </c>
      <c r="B224" s="76" t="s">
        <v>12</v>
      </c>
      <c r="C224" s="36"/>
      <c r="D224" s="61"/>
      <c r="E224" s="61"/>
      <c r="F224" s="61"/>
      <c r="G224" s="61"/>
      <c r="H224" s="128"/>
      <c r="I224" s="128"/>
      <c r="J224" s="100">
        <v>9.0</v>
      </c>
      <c r="K224" s="61"/>
      <c r="L224" s="61"/>
      <c r="M224" s="100">
        <v>12.0</v>
      </c>
      <c r="N224" s="100"/>
      <c r="O224" s="127">
        <v>9.0</v>
      </c>
      <c r="P224" s="128"/>
      <c r="Q224" s="100">
        <v>12.0</v>
      </c>
      <c r="R224" s="100"/>
      <c r="S224" s="100"/>
      <c r="T224" s="61"/>
      <c r="U224" s="61"/>
      <c r="V224" s="128"/>
      <c r="W224" s="128"/>
      <c r="X224" s="61"/>
      <c r="Y224" s="100">
        <v>9.0</v>
      </c>
      <c r="Z224" s="100"/>
      <c r="AA224" s="100">
        <v>8.0</v>
      </c>
      <c r="AB224" s="100"/>
      <c r="AC224" s="128"/>
      <c r="AD224" s="127">
        <v>9.0</v>
      </c>
      <c r="AE224" s="100">
        <v>12.0</v>
      </c>
      <c r="AF224" s="61"/>
      <c r="AG224" s="64"/>
      <c r="AH224" s="40"/>
      <c r="AI224" s="64">
        <f t="shared" si="12"/>
        <v>80</v>
      </c>
      <c r="AJ224" s="65"/>
      <c r="AK224" s="65"/>
      <c r="AL224" s="66"/>
      <c r="AM224" s="36">
        <f t="array" ref="AM224:AP224">AI224:AL224/4</f>
        <v>20</v>
      </c>
      <c r="AN224" s="65"/>
      <c r="AO224" s="65"/>
      <c r="AP224" s="66"/>
      <c r="AQ224" s="46"/>
    </row>
    <row r="225" ht="15.75" customHeight="1">
      <c r="A225" s="47"/>
      <c r="B225" s="78" t="s">
        <v>13</v>
      </c>
      <c r="C225" s="43"/>
      <c r="D225" s="49"/>
      <c r="E225" s="49"/>
      <c r="F225" s="49"/>
      <c r="G225" s="49"/>
      <c r="H225" s="49"/>
      <c r="I225" s="99"/>
      <c r="J225" s="99"/>
      <c r="K225" s="99"/>
      <c r="L225" s="101"/>
      <c r="M225" s="101"/>
      <c r="N225" s="101"/>
      <c r="O225" s="124"/>
      <c r="P225" s="124"/>
      <c r="Q225" s="99"/>
      <c r="R225" s="49"/>
      <c r="S225" s="49"/>
      <c r="T225" s="49"/>
      <c r="U225" s="49"/>
      <c r="V225" s="123"/>
      <c r="W225" s="123"/>
      <c r="X225" s="49"/>
      <c r="Y225" s="99"/>
      <c r="Z225" s="99"/>
      <c r="AA225" s="49"/>
      <c r="AB225" s="99"/>
      <c r="AC225" s="124"/>
      <c r="AD225" s="124"/>
      <c r="AE225" s="49"/>
      <c r="AF225" s="49"/>
      <c r="AG225" s="50"/>
      <c r="AH225" s="40"/>
      <c r="AI225" s="39">
        <f t="shared" si="12"/>
        <v>0</v>
      </c>
      <c r="AJ225" s="41"/>
      <c r="AK225" s="41"/>
      <c r="AL225" s="42"/>
      <c r="AM225" s="43">
        <f t="array" ref="AM225:AP225">AI225:AL225/4</f>
        <v>0</v>
      </c>
      <c r="AN225" s="44"/>
      <c r="AO225" s="44"/>
      <c r="AP225" s="45"/>
      <c r="AQ225" s="46"/>
    </row>
    <row r="226" ht="15.75" customHeight="1">
      <c r="A226" s="47"/>
      <c r="B226" s="78" t="s">
        <v>14</v>
      </c>
      <c r="C226" s="43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123"/>
      <c r="P226" s="123"/>
      <c r="Q226" s="49"/>
      <c r="R226" s="49"/>
      <c r="S226" s="49"/>
      <c r="T226" s="49"/>
      <c r="U226" s="49"/>
      <c r="V226" s="123"/>
      <c r="W226" s="123"/>
      <c r="X226" s="99"/>
      <c r="Y226" s="99"/>
      <c r="Z226" s="99"/>
      <c r="AA226" s="101"/>
      <c r="AB226" s="101"/>
      <c r="AC226" s="125"/>
      <c r="AD226" s="124"/>
      <c r="AE226" s="99"/>
      <c r="AF226" s="99"/>
      <c r="AG226" s="50"/>
      <c r="AH226" s="40"/>
      <c r="AI226" s="39">
        <f t="shared" si="12"/>
        <v>0</v>
      </c>
      <c r="AJ226" s="41"/>
      <c r="AK226" s="41"/>
      <c r="AL226" s="42"/>
      <c r="AM226" s="43">
        <f t="array" ref="AM226:AP226">AI226:AL226/4</f>
        <v>0</v>
      </c>
      <c r="AN226" s="44"/>
      <c r="AO226" s="44"/>
      <c r="AP226" s="45"/>
      <c r="AQ226" s="46"/>
    </row>
    <row r="227" ht="15.75" customHeight="1">
      <c r="A227" s="47"/>
      <c r="B227" s="78"/>
      <c r="C227" s="43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123"/>
      <c r="P227" s="123"/>
      <c r="Q227" s="49"/>
      <c r="R227" s="49"/>
      <c r="S227" s="49"/>
      <c r="T227" s="49"/>
      <c r="U227" s="49"/>
      <c r="V227" s="123"/>
      <c r="W227" s="123"/>
      <c r="X227" s="49"/>
      <c r="Y227" s="49"/>
      <c r="Z227" s="49"/>
      <c r="AA227" s="49"/>
      <c r="AB227" s="49"/>
      <c r="AC227" s="123"/>
      <c r="AD227" s="123"/>
      <c r="AE227" s="49"/>
      <c r="AF227" s="94"/>
      <c r="AG227" s="50"/>
      <c r="AH227" s="40"/>
      <c r="AI227" s="39">
        <f t="shared" si="12"/>
        <v>0</v>
      </c>
      <c r="AJ227" s="41"/>
      <c r="AK227" s="41"/>
      <c r="AL227" s="42"/>
      <c r="AM227" s="43">
        <f t="array" ref="AM227:AP227">AI227:AL227/4</f>
        <v>0</v>
      </c>
      <c r="AN227" s="44"/>
      <c r="AO227" s="44"/>
      <c r="AP227" s="45"/>
      <c r="AQ227" s="46"/>
    </row>
    <row r="228" ht="15.75" customHeight="1">
      <c r="A228" s="47"/>
      <c r="B228" s="78"/>
      <c r="C228" s="43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124"/>
      <c r="P228" s="123"/>
      <c r="Q228" s="49"/>
      <c r="R228" s="49"/>
      <c r="S228" s="49"/>
      <c r="T228" s="49"/>
      <c r="U228" s="49"/>
      <c r="V228" s="123"/>
      <c r="W228" s="123"/>
      <c r="X228" s="49"/>
      <c r="Y228" s="103"/>
      <c r="Z228" s="103"/>
      <c r="AA228" s="103"/>
      <c r="AB228" s="103">
        <v>12.0</v>
      </c>
      <c r="AC228" s="129">
        <v>12.0</v>
      </c>
      <c r="AD228" s="129">
        <v>12.0</v>
      </c>
      <c r="AE228" s="103"/>
      <c r="AF228" s="94"/>
      <c r="AG228" s="50"/>
      <c r="AH228" s="40"/>
      <c r="AI228" s="39">
        <f t="shared" si="12"/>
        <v>36</v>
      </c>
      <c r="AJ228" s="41"/>
      <c r="AK228" s="41"/>
      <c r="AL228" s="42"/>
      <c r="AM228" s="43">
        <f t="array" ref="AM228:AP228">AI228:AL228/4</f>
        <v>9</v>
      </c>
      <c r="AN228" s="44"/>
      <c r="AO228" s="44"/>
      <c r="AP228" s="45"/>
      <c r="AQ228" s="46"/>
    </row>
    <row r="229" ht="15.75" customHeight="1">
      <c r="A229" s="30"/>
      <c r="B229" s="79" t="s">
        <v>15</v>
      </c>
      <c r="C229" s="69"/>
      <c r="D229" s="80"/>
      <c r="E229" s="80"/>
      <c r="F229" s="80"/>
      <c r="G229" s="80"/>
      <c r="H229" s="80"/>
      <c r="I229" s="80"/>
      <c r="J229" s="103"/>
      <c r="K229" s="103">
        <v>9.0</v>
      </c>
      <c r="L229" s="103">
        <v>9.0</v>
      </c>
      <c r="M229" s="103">
        <v>9.0</v>
      </c>
      <c r="N229" s="103">
        <v>9.0</v>
      </c>
      <c r="O229" s="129"/>
      <c r="P229" s="129">
        <v>9.0</v>
      </c>
      <c r="Q229" s="103">
        <v>9.0</v>
      </c>
      <c r="R229" s="103">
        <v>9.0</v>
      </c>
      <c r="S229" s="103">
        <v>9.0</v>
      </c>
      <c r="T229" s="103"/>
      <c r="U229" s="80"/>
      <c r="V229" s="140"/>
      <c r="W229" s="129"/>
      <c r="X229" s="103"/>
      <c r="Y229" s="103"/>
      <c r="Z229" s="103">
        <v>9.0</v>
      </c>
      <c r="AA229" s="103">
        <v>4.0</v>
      </c>
      <c r="AB229" s="103"/>
      <c r="AC229" s="129">
        <v>9.0</v>
      </c>
      <c r="AD229" s="129"/>
      <c r="AE229" s="103">
        <v>9.0</v>
      </c>
      <c r="AF229" s="80"/>
      <c r="AG229" s="55"/>
      <c r="AH229" s="40"/>
      <c r="AI229" s="50">
        <f t="shared" si="12"/>
        <v>103</v>
      </c>
      <c r="AJ229" s="44"/>
      <c r="AK229" s="44"/>
      <c r="AL229" s="45"/>
      <c r="AM229" s="43">
        <f t="array" ref="AM229:AP229">AI229:AL229/4</f>
        <v>25.75</v>
      </c>
      <c r="AN229" s="44"/>
      <c r="AO229" s="44"/>
      <c r="AP229" s="45"/>
      <c r="AQ229" s="46"/>
    </row>
    <row r="230" ht="15.75" customHeight="1">
      <c r="A230" s="159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  <c r="AF230" s="46"/>
      <c r="AG230" s="46"/>
      <c r="AH230" s="46">
        <f>SUM(AI213:AL229)</f>
        <v>1504</v>
      </c>
      <c r="AI230" s="46"/>
      <c r="AJ230" s="46"/>
      <c r="AK230" s="46"/>
      <c r="AL230" s="46"/>
      <c r="AM230" s="46"/>
      <c r="AN230" s="46"/>
      <c r="AO230" s="46"/>
      <c r="AP230" s="46"/>
      <c r="AQ230" s="46"/>
    </row>
    <row r="231" ht="15.7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3"/>
      <c r="AI231" s="3"/>
      <c r="AJ231" s="3"/>
      <c r="AK231" s="3"/>
      <c r="AL231" s="3"/>
      <c r="AM231" s="3"/>
      <c r="AN231" s="3"/>
      <c r="AO231" s="3"/>
      <c r="AP231" s="3"/>
      <c r="AQ231" s="46"/>
    </row>
    <row r="232" ht="15.75" customHeight="1">
      <c r="A232" s="4" t="s">
        <v>0</v>
      </c>
      <c r="B232" s="5"/>
      <c r="C232" s="6">
        <v>1.0</v>
      </c>
      <c r="D232" s="7">
        <v>2.0</v>
      </c>
      <c r="E232" s="8">
        <v>3.0</v>
      </c>
      <c r="F232" s="9">
        <v>4.0</v>
      </c>
      <c r="G232" s="9">
        <v>5.0</v>
      </c>
      <c r="H232" s="10">
        <v>6.0</v>
      </c>
      <c r="I232" s="11">
        <v>7.0</v>
      </c>
      <c r="J232" s="12">
        <v>8.0</v>
      </c>
      <c r="K232" s="13">
        <v>9.0</v>
      </c>
      <c r="L232" s="14">
        <v>10.0</v>
      </c>
      <c r="M232" s="9">
        <v>11.0</v>
      </c>
      <c r="N232" s="9">
        <v>12.0</v>
      </c>
      <c r="O232" s="10">
        <v>13.0</v>
      </c>
      <c r="P232" s="11">
        <v>14.0</v>
      </c>
      <c r="Q232" s="12">
        <v>15.0</v>
      </c>
      <c r="R232" s="11">
        <v>16.0</v>
      </c>
      <c r="S232" s="9">
        <v>17.0</v>
      </c>
      <c r="T232" s="9">
        <v>18.0</v>
      </c>
      <c r="U232" s="9">
        <v>19.0</v>
      </c>
      <c r="V232" s="15">
        <v>20.0</v>
      </c>
      <c r="W232" s="16">
        <v>21.0</v>
      </c>
      <c r="X232" s="17">
        <v>22.0</v>
      </c>
      <c r="Y232" s="7">
        <v>23.0</v>
      </c>
      <c r="Z232" s="8">
        <v>24.0</v>
      </c>
      <c r="AA232" s="8">
        <v>25.0</v>
      </c>
      <c r="AB232" s="8">
        <v>26.0</v>
      </c>
      <c r="AC232" s="15">
        <v>27.0</v>
      </c>
      <c r="AD232" s="18">
        <v>28.0</v>
      </c>
      <c r="AE232" s="19">
        <v>29.0</v>
      </c>
      <c r="AF232" s="6">
        <v>30.0</v>
      </c>
      <c r="AG232" s="20">
        <v>31.0</v>
      </c>
      <c r="AH232" s="21"/>
      <c r="AI232" s="22" t="s">
        <v>1</v>
      </c>
      <c r="AJ232" s="5"/>
      <c r="AK232" s="5"/>
      <c r="AL232" s="5"/>
      <c r="AM232" s="22" t="s">
        <v>2</v>
      </c>
      <c r="AN232" s="5"/>
      <c r="AO232" s="5"/>
      <c r="AP232" s="23"/>
      <c r="AQ232" s="46"/>
    </row>
    <row r="233" ht="15.75" customHeight="1">
      <c r="A233" s="25"/>
      <c r="B233" s="2"/>
      <c r="C233" s="26"/>
      <c r="D233" s="27"/>
      <c r="E233" s="28"/>
      <c r="F233" s="28"/>
      <c r="G233" s="28"/>
      <c r="H233" s="29"/>
      <c r="I233" s="30"/>
      <c r="J233" s="31"/>
      <c r="K233" s="27"/>
      <c r="L233" s="28"/>
      <c r="M233" s="28"/>
      <c r="N233" s="28"/>
      <c r="O233" s="29"/>
      <c r="P233" s="30"/>
      <c r="Q233" s="31"/>
      <c r="R233" s="30"/>
      <c r="S233" s="28"/>
      <c r="T233" s="28"/>
      <c r="U233" s="28"/>
      <c r="V233" s="29"/>
      <c r="W233" s="30"/>
      <c r="X233" s="31"/>
      <c r="Y233" s="27"/>
      <c r="Z233" s="28"/>
      <c r="AA233" s="28"/>
      <c r="AB233" s="28"/>
      <c r="AC233" s="29"/>
      <c r="AD233" s="25"/>
      <c r="AE233" s="32"/>
      <c r="AF233" s="26"/>
      <c r="AG233" s="2"/>
      <c r="AH233" s="21"/>
      <c r="AI233" s="25"/>
      <c r="AJ233" s="2"/>
      <c r="AK233" s="2"/>
      <c r="AL233" s="2"/>
      <c r="AM233" s="25"/>
      <c r="AN233" s="2"/>
      <c r="AO233" s="2"/>
      <c r="AP233" s="33"/>
      <c r="AQ233" s="46"/>
    </row>
    <row r="234" ht="15.75" customHeight="1">
      <c r="A234" s="34" t="s">
        <v>3</v>
      </c>
      <c r="B234" s="35" t="s">
        <v>4</v>
      </c>
      <c r="C234" s="102"/>
      <c r="D234" s="106"/>
      <c r="E234" s="37"/>
      <c r="F234" s="37"/>
      <c r="G234" s="37"/>
      <c r="H234" s="37"/>
      <c r="I234" s="37"/>
      <c r="J234" s="37"/>
      <c r="K234" s="37"/>
      <c r="L234" s="37"/>
      <c r="M234" s="106">
        <v>12.0</v>
      </c>
      <c r="N234" s="106">
        <v>12.0</v>
      </c>
      <c r="O234" s="106">
        <v>12.0</v>
      </c>
      <c r="P234" s="37"/>
      <c r="Q234" s="106">
        <v>12.0</v>
      </c>
      <c r="R234" s="106">
        <v>6.0</v>
      </c>
      <c r="S234" s="37"/>
      <c r="T234" s="37"/>
      <c r="U234" s="106">
        <v>12.0</v>
      </c>
      <c r="V234" s="106">
        <v>12.0</v>
      </c>
      <c r="W234" s="106">
        <v>12.0</v>
      </c>
      <c r="X234" s="106"/>
      <c r="Y234" s="106">
        <v>12.0</v>
      </c>
      <c r="Z234" s="106">
        <v>12.0</v>
      </c>
      <c r="AA234" s="106">
        <v>12.0</v>
      </c>
      <c r="AB234" s="106"/>
      <c r="AC234" s="37"/>
      <c r="AD234" s="37"/>
      <c r="AE234" s="37"/>
      <c r="AF234" s="37"/>
      <c r="AG234" s="39"/>
      <c r="AH234" s="40"/>
      <c r="AI234" s="39">
        <f t="shared" ref="AI234:AI250" si="13">SUM(C234:AG234)</f>
        <v>126</v>
      </c>
      <c r="AJ234" s="41"/>
      <c r="AK234" s="41"/>
      <c r="AL234" s="42"/>
      <c r="AM234" s="43">
        <f t="array" ref="AM234:AP234">AI234:AL234/4</f>
        <v>31.5</v>
      </c>
      <c r="AN234" s="44"/>
      <c r="AO234" s="44"/>
      <c r="AP234" s="45"/>
      <c r="AQ234" s="46"/>
    </row>
    <row r="235" ht="15.75" customHeight="1">
      <c r="A235" s="47"/>
      <c r="B235" s="48" t="s">
        <v>5</v>
      </c>
      <c r="C235" s="43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  <c r="AD235" s="49"/>
      <c r="AE235" s="49"/>
      <c r="AF235" s="49"/>
      <c r="AG235" s="50"/>
      <c r="AH235" s="40"/>
      <c r="AI235" s="39">
        <f t="shared" si="13"/>
        <v>0</v>
      </c>
      <c r="AJ235" s="41"/>
      <c r="AK235" s="41"/>
      <c r="AL235" s="42"/>
      <c r="AM235" s="43">
        <f t="array" ref="AM235:AP235">AI235:AL235/4</f>
        <v>0</v>
      </c>
      <c r="AN235" s="44"/>
      <c r="AO235" s="44"/>
      <c r="AP235" s="45"/>
      <c r="AQ235" s="46"/>
    </row>
    <row r="236" ht="15.75" customHeight="1">
      <c r="A236" s="47"/>
      <c r="B236" s="114" t="s">
        <v>13</v>
      </c>
      <c r="C236" s="43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51"/>
      <c r="X236" s="49"/>
      <c r="Y236" s="49"/>
      <c r="Z236" s="49"/>
      <c r="AA236" s="49"/>
      <c r="AB236" s="49"/>
      <c r="AC236" s="49"/>
      <c r="AD236" s="49"/>
      <c r="AE236" s="49"/>
      <c r="AF236" s="49"/>
      <c r="AG236" s="50"/>
      <c r="AH236" s="40"/>
      <c r="AI236" s="39">
        <f t="shared" si="13"/>
        <v>0</v>
      </c>
      <c r="AJ236" s="41"/>
      <c r="AK236" s="41"/>
      <c r="AL236" s="42"/>
      <c r="AM236" s="43">
        <f t="array" ref="AM236:AP236">AI236:AL236/4</f>
        <v>0</v>
      </c>
      <c r="AN236" s="44"/>
      <c r="AO236" s="44"/>
      <c r="AP236" s="45"/>
      <c r="AQ236" s="46"/>
    </row>
    <row r="237" ht="15.75" customHeight="1">
      <c r="A237" s="47"/>
      <c r="B237" s="48" t="s">
        <v>7</v>
      </c>
      <c r="C237" s="43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51"/>
      <c r="X237" s="49"/>
      <c r="Y237" s="49"/>
      <c r="Z237" s="49"/>
      <c r="AA237" s="49"/>
      <c r="AB237" s="49"/>
      <c r="AC237" s="49"/>
      <c r="AD237" s="49"/>
      <c r="AE237" s="49"/>
      <c r="AF237" s="49"/>
      <c r="AG237" s="50"/>
      <c r="AH237" s="40"/>
      <c r="AI237" s="39">
        <f t="shared" si="13"/>
        <v>0</v>
      </c>
      <c r="AJ237" s="41"/>
      <c r="AK237" s="41"/>
      <c r="AL237" s="42"/>
      <c r="AM237" s="43">
        <f t="array" ref="AM237:AP237">AI237:AL237/4</f>
        <v>0</v>
      </c>
      <c r="AN237" s="44"/>
      <c r="AO237" s="44"/>
      <c r="AP237" s="45"/>
      <c r="AQ237" s="46"/>
    </row>
    <row r="238" ht="15.75" customHeight="1">
      <c r="A238" s="47"/>
      <c r="B238" s="114" t="s">
        <v>35</v>
      </c>
      <c r="C238" s="52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4"/>
      <c r="S238" s="54"/>
      <c r="T238" s="54"/>
      <c r="U238" s="54"/>
      <c r="V238" s="54"/>
      <c r="W238" s="54"/>
      <c r="X238" s="53"/>
      <c r="Y238" s="53"/>
      <c r="Z238" s="53"/>
      <c r="AA238" s="53"/>
      <c r="AB238" s="53"/>
      <c r="AC238" s="53"/>
      <c r="AD238" s="53"/>
      <c r="AE238" s="53"/>
      <c r="AF238" s="53"/>
      <c r="AG238" s="55"/>
      <c r="AH238" s="40"/>
      <c r="AI238" s="39">
        <f t="shared" si="13"/>
        <v>0</v>
      </c>
      <c r="AJ238" s="41"/>
      <c r="AK238" s="41"/>
      <c r="AL238" s="42"/>
      <c r="AM238" s="43">
        <f t="array" ref="AM238:AP238">AI238:AL238/4</f>
        <v>0</v>
      </c>
      <c r="AN238" s="44"/>
      <c r="AO238" s="44"/>
      <c r="AP238" s="45"/>
      <c r="AQ238" s="46"/>
    </row>
    <row r="239" ht="15.75" customHeight="1">
      <c r="A239" s="47"/>
      <c r="B239" s="48"/>
      <c r="C239" s="52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5"/>
      <c r="AH239" s="40"/>
      <c r="AI239" s="39">
        <f t="shared" si="13"/>
        <v>0</v>
      </c>
      <c r="AJ239" s="41"/>
      <c r="AK239" s="41"/>
      <c r="AL239" s="42"/>
      <c r="AM239" s="43">
        <f t="array" ref="AM239:AP239">AI239:AL239/4</f>
        <v>0</v>
      </c>
      <c r="AN239" s="44"/>
      <c r="AO239" s="44"/>
      <c r="AP239" s="45"/>
      <c r="AQ239" s="46"/>
    </row>
    <row r="240" ht="15.75" customHeight="1">
      <c r="A240" s="47"/>
      <c r="B240" s="48"/>
      <c r="C240" s="52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5"/>
      <c r="AH240" s="40"/>
      <c r="AI240" s="39">
        <f t="shared" si="13"/>
        <v>0</v>
      </c>
      <c r="AJ240" s="41"/>
      <c r="AK240" s="41"/>
      <c r="AL240" s="42"/>
      <c r="AM240" s="43">
        <f t="array" ref="AM240:AP240">AI240:AL240/4</f>
        <v>0</v>
      </c>
      <c r="AN240" s="44"/>
      <c r="AO240" s="44"/>
      <c r="AP240" s="45"/>
      <c r="AQ240" s="46"/>
    </row>
    <row r="241" ht="15.75" customHeight="1">
      <c r="A241" s="30"/>
      <c r="B241" s="48"/>
      <c r="C241" s="52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5"/>
      <c r="AH241" s="40"/>
      <c r="AI241" s="55">
        <f t="shared" si="13"/>
        <v>0</v>
      </c>
      <c r="AJ241" s="56"/>
      <c r="AK241" s="56"/>
      <c r="AL241" s="57"/>
      <c r="AM241" s="52">
        <f t="array" ref="AM241:AP241">AI241:AL241/4</f>
        <v>0</v>
      </c>
      <c r="AN241" s="56"/>
      <c r="AO241" s="56"/>
      <c r="AP241" s="57"/>
      <c r="AQ241" s="46"/>
    </row>
    <row r="242" ht="15.75" customHeight="1">
      <c r="A242" s="58" t="s">
        <v>8</v>
      </c>
      <c r="B242" s="59" t="s">
        <v>9</v>
      </c>
      <c r="C242" s="102">
        <v>24.0</v>
      </c>
      <c r="D242" s="100">
        <v>24.0</v>
      </c>
      <c r="E242" s="100">
        <v>24.0</v>
      </c>
      <c r="F242" s="102">
        <v>24.0</v>
      </c>
      <c r="G242" s="100">
        <v>24.0</v>
      </c>
      <c r="H242" s="100">
        <v>24.0</v>
      </c>
      <c r="I242" s="100">
        <v>24.0</v>
      </c>
      <c r="J242" s="100">
        <v>24.0</v>
      </c>
      <c r="K242" s="100">
        <v>24.0</v>
      </c>
      <c r="L242" s="100"/>
      <c r="M242" s="61"/>
      <c r="N242" s="102"/>
      <c r="O242" s="100"/>
      <c r="P242" s="100"/>
      <c r="Q242" s="100"/>
      <c r="R242" s="100">
        <v>18.0</v>
      </c>
      <c r="S242" s="100">
        <v>24.0</v>
      </c>
      <c r="T242" s="100">
        <v>12.0</v>
      </c>
      <c r="U242" s="61"/>
      <c r="V242" s="63"/>
      <c r="W242" s="62"/>
      <c r="X242" s="62"/>
      <c r="Y242" s="63"/>
      <c r="Z242" s="61"/>
      <c r="AA242" s="61"/>
      <c r="AB242" s="61"/>
      <c r="AC242" s="100">
        <v>24.0</v>
      </c>
      <c r="AD242" s="100">
        <v>24.0</v>
      </c>
      <c r="AE242" s="100">
        <v>24.0</v>
      </c>
      <c r="AF242" s="100">
        <v>24.0</v>
      </c>
      <c r="AG242" s="100">
        <v>24.0</v>
      </c>
      <c r="AH242" s="40"/>
      <c r="AI242" s="64">
        <f t="shared" si="13"/>
        <v>390</v>
      </c>
      <c r="AJ242" s="65"/>
      <c r="AK242" s="65"/>
      <c r="AL242" s="66"/>
      <c r="AM242" s="36">
        <f t="array" ref="AM242:AP242">AI242:AL242/4</f>
        <v>97.5</v>
      </c>
      <c r="AN242" s="65"/>
      <c r="AO242" s="65"/>
      <c r="AP242" s="66"/>
      <c r="AQ242" s="46"/>
    </row>
    <row r="243" ht="15.75" customHeight="1">
      <c r="A243" s="67"/>
      <c r="B243" s="160" t="s">
        <v>5</v>
      </c>
      <c r="C243" s="109">
        <v>24.0</v>
      </c>
      <c r="D243" s="101">
        <v>24.0</v>
      </c>
      <c r="E243" s="101">
        <v>24.0</v>
      </c>
      <c r="F243" s="109">
        <v>24.0</v>
      </c>
      <c r="G243" s="101">
        <v>24.0</v>
      </c>
      <c r="H243" s="101">
        <v>24.0</v>
      </c>
      <c r="I243" s="101">
        <v>24.0</v>
      </c>
      <c r="J243" s="101">
        <v>24.0</v>
      </c>
      <c r="K243" s="101">
        <v>24.0</v>
      </c>
      <c r="L243" s="101">
        <v>12.0</v>
      </c>
      <c r="M243" s="53"/>
      <c r="N243" s="109"/>
      <c r="O243" s="101"/>
      <c r="P243" s="101"/>
      <c r="Q243" s="101"/>
      <c r="R243" s="101">
        <v>18.0</v>
      </c>
      <c r="S243" s="101">
        <v>24.0</v>
      </c>
      <c r="T243" s="101">
        <v>12.0</v>
      </c>
      <c r="U243" s="53"/>
      <c r="V243" s="71"/>
      <c r="W243" s="70"/>
      <c r="X243" s="70"/>
      <c r="Y243" s="71"/>
      <c r="Z243" s="53"/>
      <c r="AA243" s="53"/>
      <c r="AB243" s="53"/>
      <c r="AC243" s="101">
        <v>24.0</v>
      </c>
      <c r="AD243" s="101">
        <v>24.0</v>
      </c>
      <c r="AE243" s="101">
        <v>24.0</v>
      </c>
      <c r="AF243" s="101">
        <v>24.0</v>
      </c>
      <c r="AG243" s="101">
        <v>24.0</v>
      </c>
      <c r="AH243" s="40"/>
      <c r="AI243" s="39">
        <f t="shared" si="13"/>
        <v>402</v>
      </c>
      <c r="AJ243" s="41"/>
      <c r="AK243" s="41"/>
      <c r="AL243" s="42"/>
      <c r="AM243" s="43">
        <f t="array" ref="AM243:AP243">AI243:AL243/4</f>
        <v>100.5</v>
      </c>
      <c r="AN243" s="44"/>
      <c r="AO243" s="44"/>
      <c r="AP243" s="45"/>
      <c r="AQ243" s="46"/>
    </row>
    <row r="244" ht="15.75" customHeight="1">
      <c r="A244" s="32"/>
      <c r="B244" s="68"/>
      <c r="C244" s="52"/>
      <c r="D244" s="53"/>
      <c r="E244" s="53"/>
      <c r="F244" s="52"/>
      <c r="G244" s="53"/>
      <c r="H244" s="53"/>
      <c r="I244" s="53"/>
      <c r="J244" s="53"/>
      <c r="K244" s="53"/>
      <c r="L244" s="53"/>
      <c r="M244" s="53"/>
      <c r="N244" s="52"/>
      <c r="O244" s="53"/>
      <c r="P244" s="53"/>
      <c r="Q244" s="53"/>
      <c r="R244" s="53"/>
      <c r="S244" s="53"/>
      <c r="T244" s="53"/>
      <c r="U244" s="53"/>
      <c r="V244" s="73"/>
      <c r="W244" s="72"/>
      <c r="X244" s="72"/>
      <c r="Y244" s="73"/>
      <c r="Z244" s="53"/>
      <c r="AA244" s="53"/>
      <c r="AB244" s="53"/>
      <c r="AC244" s="53"/>
      <c r="AD244" s="53"/>
      <c r="AE244" s="53"/>
      <c r="AF244" s="53"/>
      <c r="AG244" s="53"/>
      <c r="AH244" s="40"/>
      <c r="AI244" s="55">
        <f t="shared" si="13"/>
        <v>0</v>
      </c>
      <c r="AJ244" s="56"/>
      <c r="AK244" s="56"/>
      <c r="AL244" s="57"/>
      <c r="AM244" s="40">
        <f t="array" ref="AM244:AP244">AI244:AL244/4</f>
        <v>0</v>
      </c>
      <c r="AP244" s="74"/>
      <c r="AQ244" s="46"/>
    </row>
    <row r="245" ht="15.75" customHeight="1">
      <c r="A245" s="75" t="s">
        <v>11</v>
      </c>
      <c r="B245" s="76" t="s">
        <v>12</v>
      </c>
      <c r="C245" s="36"/>
      <c r="D245" s="61"/>
      <c r="E245" s="77"/>
      <c r="F245" s="77"/>
      <c r="G245" s="77"/>
      <c r="H245" s="77"/>
      <c r="I245" s="77"/>
      <c r="J245" s="77"/>
      <c r="K245" s="77"/>
      <c r="L245" s="61"/>
      <c r="M245" s="61"/>
      <c r="N245" s="61"/>
      <c r="O245" s="61"/>
      <c r="P245" s="100">
        <v>12.0</v>
      </c>
      <c r="Q245" s="61"/>
      <c r="R245" s="100">
        <v>6.0</v>
      </c>
      <c r="S245" s="61"/>
      <c r="T245" s="61"/>
      <c r="U245" s="61"/>
      <c r="V245" s="61"/>
      <c r="W245" s="61"/>
      <c r="X245" s="100">
        <v>12.0</v>
      </c>
      <c r="Y245" s="61"/>
      <c r="Z245" s="61"/>
      <c r="AA245" s="61"/>
      <c r="AB245" s="100">
        <v>12.0</v>
      </c>
      <c r="AC245" s="61"/>
      <c r="AD245" s="61"/>
      <c r="AE245" s="61"/>
      <c r="AF245" s="61"/>
      <c r="AG245" s="64"/>
      <c r="AH245" s="40"/>
      <c r="AI245" s="64">
        <f t="shared" si="13"/>
        <v>42</v>
      </c>
      <c r="AJ245" s="65"/>
      <c r="AK245" s="65"/>
      <c r="AL245" s="66"/>
      <c r="AM245" s="36">
        <f t="array" ref="AM245:AP245">AI245:AL245/4</f>
        <v>10.5</v>
      </c>
      <c r="AN245" s="65"/>
      <c r="AO245" s="65"/>
      <c r="AP245" s="66"/>
      <c r="AQ245" s="46"/>
    </row>
    <row r="246" ht="15.75" customHeight="1">
      <c r="A246" s="47"/>
      <c r="B246" s="78" t="s">
        <v>13</v>
      </c>
      <c r="C246" s="43"/>
      <c r="D246" s="49"/>
      <c r="E246" s="49"/>
      <c r="F246" s="49"/>
      <c r="G246" s="51"/>
      <c r="H246" s="49"/>
      <c r="I246" s="49"/>
      <c r="J246" s="51"/>
      <c r="K246" s="51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  <c r="AG246" s="50"/>
      <c r="AH246" s="40"/>
      <c r="AI246" s="39">
        <f t="shared" si="13"/>
        <v>0</v>
      </c>
      <c r="AJ246" s="41"/>
      <c r="AK246" s="41"/>
      <c r="AL246" s="42"/>
      <c r="AM246" s="43">
        <f t="array" ref="AM246:AP246">AI246:AL246/4</f>
        <v>0</v>
      </c>
      <c r="AN246" s="44"/>
      <c r="AO246" s="44"/>
      <c r="AP246" s="45"/>
      <c r="AQ246" s="46"/>
    </row>
    <row r="247" ht="15.75" customHeight="1">
      <c r="A247" s="47"/>
      <c r="B247" s="78" t="s">
        <v>14</v>
      </c>
      <c r="C247" s="43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  <c r="AD247" s="49"/>
      <c r="AE247" s="49"/>
      <c r="AF247" s="49"/>
      <c r="AG247" s="50"/>
      <c r="AH247" s="40"/>
      <c r="AI247" s="39">
        <f t="shared" si="13"/>
        <v>0</v>
      </c>
      <c r="AJ247" s="41"/>
      <c r="AK247" s="41"/>
      <c r="AL247" s="42"/>
      <c r="AM247" s="43">
        <f t="array" ref="AM247:AP247">AI247:AL247/4</f>
        <v>0</v>
      </c>
      <c r="AN247" s="44"/>
      <c r="AO247" s="44"/>
      <c r="AP247" s="45"/>
      <c r="AQ247" s="46"/>
    </row>
    <row r="248" ht="15.75" customHeight="1">
      <c r="A248" s="47"/>
      <c r="B248" s="78"/>
      <c r="C248" s="43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  <c r="AB248" s="49"/>
      <c r="AC248" s="49"/>
      <c r="AD248" s="49"/>
      <c r="AE248" s="49"/>
      <c r="AF248" s="49"/>
      <c r="AG248" s="50"/>
      <c r="AH248" s="40"/>
      <c r="AI248" s="39">
        <f t="shared" si="13"/>
        <v>0</v>
      </c>
      <c r="AJ248" s="41"/>
      <c r="AK248" s="41"/>
      <c r="AL248" s="42"/>
      <c r="AM248" s="43">
        <f t="array" ref="AM248:AP248">AI248:AL248/4</f>
        <v>0</v>
      </c>
      <c r="AN248" s="44"/>
      <c r="AO248" s="44"/>
      <c r="AP248" s="45"/>
      <c r="AQ248" s="46"/>
    </row>
    <row r="249" ht="15.75" customHeight="1">
      <c r="A249" s="47"/>
      <c r="B249" s="78"/>
      <c r="C249" s="43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  <c r="AB249" s="49"/>
      <c r="AC249" s="49"/>
      <c r="AD249" s="49"/>
      <c r="AE249" s="49"/>
      <c r="AF249" s="49"/>
      <c r="AG249" s="50"/>
      <c r="AH249" s="40"/>
      <c r="AI249" s="39">
        <f t="shared" si="13"/>
        <v>0</v>
      </c>
      <c r="AJ249" s="41"/>
      <c r="AK249" s="41"/>
      <c r="AL249" s="42"/>
      <c r="AM249" s="43">
        <f t="array" ref="AM249:AP249">AI249:AL249/4</f>
        <v>0</v>
      </c>
      <c r="AN249" s="44"/>
      <c r="AO249" s="44"/>
      <c r="AP249" s="45"/>
      <c r="AQ249" s="46"/>
    </row>
    <row r="250" ht="15.75" customHeight="1">
      <c r="A250" s="30"/>
      <c r="B250" s="79" t="s">
        <v>15</v>
      </c>
      <c r="C250" s="52"/>
      <c r="D250" s="80"/>
      <c r="E250" s="80"/>
      <c r="F250" s="80"/>
      <c r="G250" s="80"/>
      <c r="H250" s="80"/>
      <c r="I250" s="80"/>
      <c r="J250" s="80"/>
      <c r="K250" s="80"/>
      <c r="L250" s="80"/>
      <c r="M250" s="80"/>
      <c r="N250" s="80"/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0"/>
      <c r="AA250" s="80"/>
      <c r="AB250" s="80"/>
      <c r="AC250" s="80"/>
      <c r="AD250" s="80"/>
      <c r="AE250" s="80"/>
      <c r="AF250" s="80"/>
      <c r="AG250" s="81"/>
      <c r="AH250" s="40"/>
      <c r="AI250" s="55">
        <f t="shared" si="13"/>
        <v>0</v>
      </c>
      <c r="AJ250" s="56"/>
      <c r="AK250" s="56"/>
      <c r="AL250" s="57"/>
      <c r="AM250" s="43">
        <f t="array" ref="AM250:AP250">AI250:AL250/4</f>
        <v>0</v>
      </c>
      <c r="AN250" s="44"/>
      <c r="AO250" s="44"/>
      <c r="AP250" s="45"/>
      <c r="AQ250" s="46"/>
    </row>
    <row r="251" ht="15.75" customHeight="1">
      <c r="A251" s="4" t="s">
        <v>16</v>
      </c>
      <c r="B251" s="5"/>
      <c r="C251" s="6">
        <v>1.0</v>
      </c>
      <c r="D251" s="13">
        <v>2.0</v>
      </c>
      <c r="E251" s="14">
        <v>3.0</v>
      </c>
      <c r="F251" s="9">
        <v>4.0</v>
      </c>
      <c r="G251" s="9">
        <v>5.0</v>
      </c>
      <c r="H251" s="10">
        <v>6.0</v>
      </c>
      <c r="I251" s="11">
        <v>7.0</v>
      </c>
      <c r="J251" s="12">
        <v>8.0</v>
      </c>
      <c r="K251" s="13">
        <v>9.0</v>
      </c>
      <c r="L251" s="14">
        <v>10.0</v>
      </c>
      <c r="M251" s="9">
        <v>11.0</v>
      </c>
      <c r="N251" s="9">
        <v>12.0</v>
      </c>
      <c r="O251" s="10">
        <v>13.0</v>
      </c>
      <c r="P251" s="11">
        <v>14.0</v>
      </c>
      <c r="Q251" s="12">
        <v>15.0</v>
      </c>
      <c r="R251" s="11">
        <v>16.0</v>
      </c>
      <c r="S251" s="9">
        <v>17.0</v>
      </c>
      <c r="T251" s="9">
        <v>18.0</v>
      </c>
      <c r="U251" s="9">
        <v>19.0</v>
      </c>
      <c r="V251" s="15">
        <v>20.0</v>
      </c>
      <c r="W251" s="16">
        <v>21.0</v>
      </c>
      <c r="X251" s="17">
        <v>22.0</v>
      </c>
      <c r="Y251" s="7">
        <v>23.0</v>
      </c>
      <c r="Z251" s="8">
        <v>24.0</v>
      </c>
      <c r="AA251" s="8">
        <v>25.0</v>
      </c>
      <c r="AB251" s="8">
        <v>26.0</v>
      </c>
      <c r="AC251" s="15">
        <v>27.0</v>
      </c>
      <c r="AD251" s="18">
        <v>28.0</v>
      </c>
      <c r="AE251" s="82" t="s">
        <v>17</v>
      </c>
      <c r="AF251" s="56"/>
      <c r="AG251" s="83"/>
      <c r="AH251" s="40"/>
      <c r="AI251" s="22" t="s">
        <v>1</v>
      </c>
      <c r="AJ251" s="5"/>
      <c r="AK251" s="5"/>
      <c r="AL251" s="5"/>
      <c r="AM251" s="22" t="s">
        <v>2</v>
      </c>
      <c r="AN251" s="5"/>
      <c r="AO251" s="5"/>
      <c r="AP251" s="23"/>
      <c r="AQ251" s="46"/>
    </row>
    <row r="252" ht="15.75" customHeight="1">
      <c r="A252" s="25"/>
      <c r="B252" s="2"/>
      <c r="C252" s="26"/>
      <c r="D252" s="27"/>
      <c r="E252" s="28"/>
      <c r="F252" s="28"/>
      <c r="G252" s="28"/>
      <c r="H252" s="29"/>
      <c r="I252" s="30"/>
      <c r="J252" s="31"/>
      <c r="K252" s="27"/>
      <c r="L252" s="28"/>
      <c r="M252" s="28"/>
      <c r="N252" s="28"/>
      <c r="O252" s="29"/>
      <c r="P252" s="30"/>
      <c r="Q252" s="31"/>
      <c r="R252" s="30"/>
      <c r="S252" s="28"/>
      <c r="T252" s="28"/>
      <c r="U252" s="28"/>
      <c r="V252" s="29"/>
      <c r="W252" s="30"/>
      <c r="X252" s="31"/>
      <c r="Y252" s="27"/>
      <c r="Z252" s="28"/>
      <c r="AA252" s="28"/>
      <c r="AB252" s="28"/>
      <c r="AC252" s="29"/>
      <c r="AD252" s="25"/>
      <c r="AE252" s="84"/>
      <c r="AG252" s="85"/>
      <c r="AH252" s="40"/>
      <c r="AI252" s="25"/>
      <c r="AJ252" s="2"/>
      <c r="AK252" s="2"/>
      <c r="AL252" s="2"/>
      <c r="AM252" s="25"/>
      <c r="AN252" s="2"/>
      <c r="AO252" s="2"/>
      <c r="AP252" s="33"/>
      <c r="AQ252" s="46"/>
    </row>
    <row r="253" ht="15.75" customHeight="1">
      <c r="A253" s="34" t="s">
        <v>3</v>
      </c>
      <c r="B253" s="35" t="s">
        <v>4</v>
      </c>
      <c r="C253" s="36"/>
      <c r="D253" s="37"/>
      <c r="E253" s="106">
        <v>12.0</v>
      </c>
      <c r="F253" s="106">
        <v>12.0</v>
      </c>
      <c r="G253" s="106">
        <v>12.0</v>
      </c>
      <c r="H253" s="106"/>
      <c r="I253" s="106">
        <v>12.0</v>
      </c>
      <c r="J253" s="106">
        <v>12.0</v>
      </c>
      <c r="K253" s="106">
        <v>12.0</v>
      </c>
      <c r="L253" s="106"/>
      <c r="M253" s="106">
        <v>9.0</v>
      </c>
      <c r="N253" s="106">
        <v>12.0</v>
      </c>
      <c r="O253" s="106"/>
      <c r="P253" s="106">
        <v>12.0</v>
      </c>
      <c r="Q253" s="106">
        <v>12.0</v>
      </c>
      <c r="R253" s="106">
        <v>12.0</v>
      </c>
      <c r="S253" s="37"/>
      <c r="T253" s="37"/>
      <c r="U253" s="37"/>
      <c r="V253" s="37"/>
      <c r="W253" s="37"/>
      <c r="X253" s="37"/>
      <c r="Y253" s="37"/>
      <c r="Z253" s="106"/>
      <c r="AA253" s="106">
        <v>9.0</v>
      </c>
      <c r="AB253" s="37"/>
      <c r="AC253" s="106">
        <v>12.0</v>
      </c>
      <c r="AD253" s="161">
        <v>12.0</v>
      </c>
      <c r="AE253" s="84"/>
      <c r="AG253" s="85"/>
      <c r="AH253" s="40"/>
      <c r="AI253" s="39">
        <f t="shared" ref="AI253:AI269" si="14">SUM(C253:AG253)</f>
        <v>162</v>
      </c>
      <c r="AJ253" s="41"/>
      <c r="AK253" s="41"/>
      <c r="AL253" s="42"/>
      <c r="AM253" s="43">
        <f t="array" ref="AM253:AP253">AI253:AL253/4</f>
        <v>40.5</v>
      </c>
      <c r="AN253" s="44"/>
      <c r="AO253" s="44"/>
      <c r="AP253" s="45"/>
      <c r="AQ253" s="46"/>
    </row>
    <row r="254" ht="15.75" customHeight="1">
      <c r="A254" s="47"/>
      <c r="B254" s="48" t="s">
        <v>5</v>
      </c>
      <c r="C254" s="43"/>
      <c r="D254" s="49"/>
      <c r="E254" s="106"/>
      <c r="F254" s="106"/>
      <c r="G254" s="106"/>
      <c r="H254" s="106" t="s">
        <v>36</v>
      </c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  <c r="AC254" s="49"/>
      <c r="AD254" s="50"/>
      <c r="AE254" s="84"/>
      <c r="AG254" s="85"/>
      <c r="AH254" s="40"/>
      <c r="AI254" s="39">
        <f t="shared" si="14"/>
        <v>0</v>
      </c>
      <c r="AJ254" s="41"/>
      <c r="AK254" s="41"/>
      <c r="AL254" s="42"/>
      <c r="AM254" s="43">
        <f t="array" ref="AM254:AP254">AI254:AL254/4</f>
        <v>0</v>
      </c>
      <c r="AN254" s="44"/>
      <c r="AO254" s="44"/>
      <c r="AP254" s="45"/>
      <c r="AQ254" s="46"/>
    </row>
    <row r="255" ht="15.75" customHeight="1">
      <c r="A255" s="47"/>
      <c r="B255" s="114" t="s">
        <v>37</v>
      </c>
      <c r="C255" s="43"/>
      <c r="D255" s="49"/>
      <c r="E255" s="99">
        <v>9.0</v>
      </c>
      <c r="F255" s="99">
        <v>9.0</v>
      </c>
      <c r="G255" s="49"/>
      <c r="H255" s="49"/>
      <c r="I255" s="49"/>
      <c r="J255" s="49"/>
      <c r="K255" s="49"/>
      <c r="L255" s="99">
        <v>12.0</v>
      </c>
      <c r="M255" s="99">
        <v>12.0</v>
      </c>
      <c r="N255" s="49"/>
      <c r="O255" s="49"/>
      <c r="P255" s="49"/>
      <c r="Q255" s="49"/>
      <c r="R255" s="49"/>
      <c r="S255" s="86"/>
      <c r="T255" s="87"/>
      <c r="U255" s="87"/>
      <c r="V255" s="87"/>
      <c r="W255" s="87"/>
      <c r="X255" s="86"/>
      <c r="Y255" s="86"/>
      <c r="Z255" s="119">
        <v>12.0</v>
      </c>
      <c r="AA255" s="120">
        <v>12.0</v>
      </c>
      <c r="AB255" s="87"/>
      <c r="AC255" s="87"/>
      <c r="AD255" s="87"/>
      <c r="AE255" s="84"/>
      <c r="AG255" s="85"/>
      <c r="AH255" s="40"/>
      <c r="AI255" s="39">
        <f t="shared" si="14"/>
        <v>66</v>
      </c>
      <c r="AJ255" s="41"/>
      <c r="AK255" s="41"/>
      <c r="AL255" s="42"/>
      <c r="AM255" s="43">
        <f t="array" ref="AM255:AP255">AI255:AL255/4</f>
        <v>16.5</v>
      </c>
      <c r="AN255" s="44"/>
      <c r="AO255" s="44"/>
      <c r="AP255" s="45"/>
      <c r="AQ255" s="46"/>
    </row>
    <row r="256" ht="15.75" customHeight="1">
      <c r="A256" s="47"/>
      <c r="B256" s="48"/>
      <c r="C256" s="43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51"/>
      <c r="R256" s="49"/>
      <c r="S256" s="88"/>
      <c r="T256" s="89"/>
      <c r="U256" s="89"/>
      <c r="V256" s="89"/>
      <c r="W256" s="89"/>
      <c r="X256" s="88"/>
      <c r="Y256" s="88"/>
      <c r="Z256" s="88"/>
      <c r="AA256" s="89"/>
      <c r="AB256" s="89"/>
      <c r="AC256" s="89"/>
      <c r="AD256" s="89"/>
      <c r="AE256" s="84"/>
      <c r="AG256" s="85"/>
      <c r="AH256" s="40"/>
      <c r="AI256" s="39">
        <f t="shared" si="14"/>
        <v>0</v>
      </c>
      <c r="AJ256" s="41"/>
      <c r="AK256" s="41"/>
      <c r="AL256" s="42"/>
      <c r="AM256" s="43">
        <f t="array" ref="AM256:AP256">AI256:AL256/4</f>
        <v>0</v>
      </c>
      <c r="AN256" s="44"/>
      <c r="AO256" s="44"/>
      <c r="AP256" s="45"/>
      <c r="AQ256" s="46"/>
    </row>
    <row r="257" ht="15.75" customHeight="1">
      <c r="A257" s="47"/>
      <c r="B257" s="114" t="s">
        <v>13</v>
      </c>
      <c r="C257" s="52"/>
      <c r="D257" s="101">
        <v>12.0</v>
      </c>
      <c r="E257" s="101">
        <v>12.0</v>
      </c>
      <c r="F257" s="101">
        <v>12.0</v>
      </c>
      <c r="G257" s="101">
        <v>12.0</v>
      </c>
      <c r="H257" s="101"/>
      <c r="I257" s="101">
        <v>12.0</v>
      </c>
      <c r="J257" s="101">
        <v>12.0</v>
      </c>
      <c r="K257" s="101"/>
      <c r="L257" s="101">
        <v>12.0</v>
      </c>
      <c r="M257" s="101">
        <v>12.0</v>
      </c>
      <c r="N257" s="101">
        <v>12.0</v>
      </c>
      <c r="O257" s="101"/>
      <c r="P257" s="101">
        <v>12.0</v>
      </c>
      <c r="Q257" s="101">
        <v>12.0</v>
      </c>
      <c r="R257" s="101">
        <v>12.0</v>
      </c>
      <c r="S257" s="53"/>
      <c r="T257" s="53"/>
      <c r="U257" s="53"/>
      <c r="V257" s="53"/>
      <c r="W257" s="53"/>
      <c r="X257" s="53"/>
      <c r="Y257" s="101">
        <v>12.0</v>
      </c>
      <c r="Z257" s="101">
        <v>12.0</v>
      </c>
      <c r="AA257" s="101">
        <v>12.0</v>
      </c>
      <c r="AB257" s="101"/>
      <c r="AC257" s="101">
        <v>12.0</v>
      </c>
      <c r="AD257" s="101">
        <v>12.0</v>
      </c>
      <c r="AE257" s="84"/>
      <c r="AG257" s="85"/>
      <c r="AH257" s="40"/>
      <c r="AI257" s="39">
        <f t="shared" si="14"/>
        <v>204</v>
      </c>
      <c r="AJ257" s="41"/>
      <c r="AK257" s="41"/>
      <c r="AL257" s="42"/>
      <c r="AM257" s="43">
        <f t="array" ref="AM257:AP257">AI257:AL257/4</f>
        <v>51</v>
      </c>
      <c r="AN257" s="44"/>
      <c r="AO257" s="44"/>
      <c r="AP257" s="45"/>
      <c r="AQ257" s="46"/>
    </row>
    <row r="258" ht="15.75" customHeight="1">
      <c r="A258" s="47"/>
      <c r="B258" s="114" t="s">
        <v>25</v>
      </c>
      <c r="C258" s="52"/>
      <c r="D258" s="101">
        <v>12.0</v>
      </c>
      <c r="E258" s="101">
        <v>12.0</v>
      </c>
      <c r="F258" s="101">
        <v>12.0</v>
      </c>
      <c r="G258" s="53"/>
      <c r="H258" s="101">
        <v>12.0</v>
      </c>
      <c r="I258" s="53"/>
      <c r="J258" s="53"/>
      <c r="K258" s="101">
        <v>12.0</v>
      </c>
      <c r="L258" s="101">
        <v>12.0</v>
      </c>
      <c r="M258" s="101">
        <v>12.0</v>
      </c>
      <c r="N258" s="101">
        <v>12.0</v>
      </c>
      <c r="O258" s="101">
        <v>12.0</v>
      </c>
      <c r="P258" s="53"/>
      <c r="Q258" s="53"/>
      <c r="R258" s="53"/>
      <c r="S258" s="53"/>
      <c r="T258" s="53"/>
      <c r="U258" s="53"/>
      <c r="V258" s="53"/>
      <c r="W258" s="53"/>
      <c r="X258" s="53"/>
      <c r="Y258" s="101">
        <v>12.0</v>
      </c>
      <c r="Z258" s="101">
        <v>12.0</v>
      </c>
      <c r="AA258" s="101">
        <v>12.0</v>
      </c>
      <c r="AB258" s="101">
        <v>12.0</v>
      </c>
      <c r="AC258" s="101"/>
      <c r="AD258" s="101"/>
      <c r="AE258" s="84"/>
      <c r="AG258" s="85"/>
      <c r="AH258" s="40"/>
      <c r="AI258" s="39">
        <f t="shared" si="14"/>
        <v>156</v>
      </c>
      <c r="AJ258" s="41"/>
      <c r="AK258" s="41"/>
      <c r="AL258" s="42"/>
      <c r="AM258" s="43">
        <f t="array" ref="AM258:AP258">AI258:AL258/4</f>
        <v>39</v>
      </c>
      <c r="AN258" s="44"/>
      <c r="AO258" s="44"/>
      <c r="AP258" s="45"/>
      <c r="AQ258" s="46"/>
    </row>
    <row r="259" ht="15.75" customHeight="1">
      <c r="A259" s="47"/>
      <c r="B259" s="48"/>
      <c r="C259" s="52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5"/>
      <c r="AE259" s="84"/>
      <c r="AG259" s="85"/>
      <c r="AH259" s="40"/>
      <c r="AI259" s="39">
        <f t="shared" si="14"/>
        <v>0</v>
      </c>
      <c r="AJ259" s="41"/>
      <c r="AK259" s="41"/>
      <c r="AL259" s="42"/>
      <c r="AM259" s="43">
        <f t="array" ref="AM259:AP259">AI259:AL259/4</f>
        <v>0</v>
      </c>
      <c r="AN259" s="44"/>
      <c r="AO259" s="44"/>
      <c r="AP259" s="45"/>
      <c r="AQ259" s="46"/>
    </row>
    <row r="260" ht="15.75" customHeight="1">
      <c r="A260" s="30"/>
      <c r="B260" s="48"/>
      <c r="C260" s="52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5"/>
      <c r="AE260" s="84"/>
      <c r="AG260" s="85"/>
      <c r="AH260" s="40"/>
      <c r="AI260" s="55">
        <f t="shared" si="14"/>
        <v>0</v>
      </c>
      <c r="AJ260" s="56"/>
      <c r="AK260" s="56"/>
      <c r="AL260" s="57"/>
      <c r="AM260" s="52">
        <f t="array" ref="AM260:AP260">AI260:AL260/4</f>
        <v>0</v>
      </c>
      <c r="AN260" s="56"/>
      <c r="AO260" s="56"/>
      <c r="AP260" s="57"/>
      <c r="AQ260" s="46"/>
    </row>
    <row r="261" ht="15.75" customHeight="1">
      <c r="A261" s="58" t="s">
        <v>8</v>
      </c>
      <c r="B261" s="59" t="s">
        <v>9</v>
      </c>
      <c r="C261" s="102">
        <v>24.0</v>
      </c>
      <c r="D261" s="100">
        <v>12.0</v>
      </c>
      <c r="E261" s="61"/>
      <c r="F261" s="61"/>
      <c r="G261" s="100"/>
      <c r="H261" s="100"/>
      <c r="I261" s="100"/>
      <c r="J261" s="61"/>
      <c r="K261" s="61"/>
      <c r="L261" s="61"/>
      <c r="M261" s="61"/>
      <c r="N261" s="61"/>
      <c r="O261" s="61"/>
      <c r="P261" s="61"/>
      <c r="Q261" s="61"/>
      <c r="R261" s="61"/>
      <c r="S261" s="100">
        <v>24.0</v>
      </c>
      <c r="T261" s="100">
        <v>24.0</v>
      </c>
      <c r="U261" s="100">
        <v>24.0</v>
      </c>
      <c r="V261" s="100">
        <v>24.0</v>
      </c>
      <c r="W261" s="100">
        <v>24.0</v>
      </c>
      <c r="X261" s="100">
        <v>24.0</v>
      </c>
      <c r="Y261" s="100">
        <v>12.0</v>
      </c>
      <c r="Z261" s="100"/>
      <c r="AA261" s="61"/>
      <c r="AB261" s="61"/>
      <c r="AC261" s="61"/>
      <c r="AD261" s="64"/>
      <c r="AE261" s="84"/>
      <c r="AG261" s="85"/>
      <c r="AH261" s="40"/>
      <c r="AI261" s="64">
        <f t="shared" si="14"/>
        <v>192</v>
      </c>
      <c r="AJ261" s="65"/>
      <c r="AK261" s="65"/>
      <c r="AL261" s="66"/>
      <c r="AM261" s="36">
        <f t="array" ref="AM261:AP261">AI261:AL261/4</f>
        <v>48</v>
      </c>
      <c r="AN261" s="65"/>
      <c r="AO261" s="65"/>
      <c r="AP261" s="66"/>
      <c r="AQ261" s="46"/>
    </row>
    <row r="262" ht="15.75" customHeight="1">
      <c r="A262" s="67"/>
      <c r="B262" s="68" t="s">
        <v>18</v>
      </c>
      <c r="C262" s="109">
        <v>24.0</v>
      </c>
      <c r="D262" s="101">
        <v>12.0</v>
      </c>
      <c r="E262" s="53"/>
      <c r="F262" s="53"/>
      <c r="G262" s="101"/>
      <c r="H262" s="101"/>
      <c r="I262" s="101"/>
      <c r="J262" s="53"/>
      <c r="K262" s="53"/>
      <c r="L262" s="53"/>
      <c r="M262" s="53"/>
      <c r="N262" s="53"/>
      <c r="O262" s="53"/>
      <c r="P262" s="53"/>
      <c r="Q262" s="53"/>
      <c r="R262" s="53"/>
      <c r="S262" s="101">
        <v>24.0</v>
      </c>
      <c r="T262" s="101">
        <v>24.0</v>
      </c>
      <c r="U262" s="101">
        <v>24.0</v>
      </c>
      <c r="V262" s="101">
        <v>24.0</v>
      </c>
      <c r="W262" s="101">
        <v>24.0</v>
      </c>
      <c r="X262" s="101">
        <v>24.0</v>
      </c>
      <c r="Y262" s="101">
        <v>12.0</v>
      </c>
      <c r="Z262" s="101"/>
      <c r="AA262" s="53"/>
      <c r="AB262" s="53"/>
      <c r="AC262" s="53"/>
      <c r="AD262" s="55"/>
      <c r="AE262" s="84"/>
      <c r="AG262" s="85"/>
      <c r="AH262" s="40"/>
      <c r="AI262" s="39">
        <f t="shared" si="14"/>
        <v>192</v>
      </c>
      <c r="AJ262" s="41"/>
      <c r="AK262" s="41"/>
      <c r="AL262" s="42"/>
      <c r="AM262" s="43">
        <f t="array" ref="AM262:AP262">AI262:AL262/4</f>
        <v>48</v>
      </c>
      <c r="AN262" s="44"/>
      <c r="AO262" s="44"/>
      <c r="AP262" s="45"/>
      <c r="AQ262" s="46"/>
    </row>
    <row r="263" ht="15.75" customHeight="1">
      <c r="A263" s="32"/>
      <c r="B263" s="68"/>
      <c r="C263" s="52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5"/>
      <c r="AE263" s="84"/>
      <c r="AG263" s="85"/>
      <c r="AH263" s="40"/>
      <c r="AI263" s="55">
        <f t="shared" si="14"/>
        <v>0</v>
      </c>
      <c r="AJ263" s="56"/>
      <c r="AK263" s="56"/>
      <c r="AL263" s="57"/>
      <c r="AM263" s="40">
        <f t="array" ref="AM263:AP263">AI263:AL263/4</f>
        <v>0</v>
      </c>
      <c r="AP263" s="74"/>
      <c r="AQ263" s="46"/>
    </row>
    <row r="264" ht="15.75" customHeight="1">
      <c r="A264" s="75" t="s">
        <v>11</v>
      </c>
      <c r="B264" s="76" t="s">
        <v>12</v>
      </c>
      <c r="C264" s="36"/>
      <c r="D264" s="61"/>
      <c r="E264" s="61"/>
      <c r="F264" s="61"/>
      <c r="G264" s="100"/>
      <c r="H264" s="100">
        <v>12.0</v>
      </c>
      <c r="I264" s="61"/>
      <c r="J264" s="100"/>
      <c r="K264" s="100">
        <v>9.0</v>
      </c>
      <c r="L264" s="100">
        <v>9.0</v>
      </c>
      <c r="M264" s="100"/>
      <c r="N264" s="61"/>
      <c r="O264" s="100">
        <v>12.0</v>
      </c>
      <c r="P264" s="100"/>
      <c r="Q264" s="61"/>
      <c r="R264" s="61"/>
      <c r="S264" s="61"/>
      <c r="T264" s="61"/>
      <c r="U264" s="61"/>
      <c r="V264" s="61"/>
      <c r="W264" s="61"/>
      <c r="X264" s="61"/>
      <c r="Y264" s="61"/>
      <c r="Z264" s="100">
        <v>9.0</v>
      </c>
      <c r="AA264" s="61"/>
      <c r="AB264" s="100">
        <v>12.0</v>
      </c>
      <c r="AC264" s="61"/>
      <c r="AD264" s="64"/>
      <c r="AE264" s="84"/>
      <c r="AG264" s="85"/>
      <c r="AH264" s="40"/>
      <c r="AI264" s="64">
        <f t="shared" si="14"/>
        <v>63</v>
      </c>
      <c r="AJ264" s="65"/>
      <c r="AK264" s="65"/>
      <c r="AL264" s="66"/>
      <c r="AM264" s="36">
        <f t="array" ref="AM264:AP264">AI264:AL264/4</f>
        <v>15.75</v>
      </c>
      <c r="AN264" s="65"/>
      <c r="AO264" s="65"/>
      <c r="AP264" s="66"/>
      <c r="AQ264" s="46"/>
    </row>
    <row r="265" ht="15.75" customHeight="1">
      <c r="A265" s="47"/>
      <c r="B265" s="78" t="s">
        <v>13</v>
      </c>
      <c r="C265" s="43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  <c r="AB265" s="49"/>
      <c r="AC265" s="49"/>
      <c r="AD265" s="50"/>
      <c r="AE265" s="84"/>
      <c r="AG265" s="85"/>
      <c r="AH265" s="40"/>
      <c r="AI265" s="39">
        <f t="shared" si="14"/>
        <v>0</v>
      </c>
      <c r="AJ265" s="41"/>
      <c r="AK265" s="41"/>
      <c r="AL265" s="42"/>
      <c r="AM265" s="43">
        <f t="array" ref="AM265:AP265">AI265:AL265/4</f>
        <v>0</v>
      </c>
      <c r="AN265" s="44"/>
      <c r="AO265" s="44"/>
      <c r="AP265" s="45"/>
      <c r="AQ265" s="46"/>
    </row>
    <row r="266" ht="15.75" customHeight="1">
      <c r="A266" s="47"/>
      <c r="B266" s="78" t="s">
        <v>14</v>
      </c>
      <c r="C266" s="43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  <c r="AD266" s="50"/>
      <c r="AE266" s="84"/>
      <c r="AG266" s="85"/>
      <c r="AH266" s="90"/>
      <c r="AI266" s="39">
        <f t="shared" si="14"/>
        <v>0</v>
      </c>
      <c r="AJ266" s="41"/>
      <c r="AK266" s="41"/>
      <c r="AL266" s="42"/>
      <c r="AM266" s="43">
        <f t="array" ref="AM266:AP266">AI266:AL266/4</f>
        <v>0</v>
      </c>
      <c r="AN266" s="44"/>
      <c r="AO266" s="44"/>
      <c r="AP266" s="45"/>
      <c r="AQ266" s="46"/>
    </row>
    <row r="267" ht="15.75" customHeight="1">
      <c r="A267" s="47"/>
      <c r="B267" s="78"/>
      <c r="C267" s="43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  <c r="AB267" s="49"/>
      <c r="AC267" s="49"/>
      <c r="AD267" s="50"/>
      <c r="AE267" s="84"/>
      <c r="AG267" s="85"/>
      <c r="AH267" s="40"/>
      <c r="AI267" s="39">
        <f t="shared" si="14"/>
        <v>0</v>
      </c>
      <c r="AJ267" s="41"/>
      <c r="AK267" s="41"/>
      <c r="AL267" s="42"/>
      <c r="AM267" s="43">
        <f t="array" ref="AM267:AP267">AI267:AL267/4</f>
        <v>0</v>
      </c>
      <c r="AN267" s="44"/>
      <c r="AO267" s="44"/>
      <c r="AP267" s="45"/>
      <c r="AQ267" s="46"/>
    </row>
    <row r="268" ht="15.75" customHeight="1">
      <c r="A268" s="47"/>
      <c r="B268" s="78"/>
      <c r="C268" s="43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  <c r="AB268" s="49"/>
      <c r="AC268" s="49"/>
      <c r="AD268" s="50"/>
      <c r="AE268" s="84"/>
      <c r="AG268" s="85"/>
      <c r="AH268" s="40"/>
      <c r="AI268" s="39">
        <f t="shared" si="14"/>
        <v>0</v>
      </c>
      <c r="AJ268" s="41"/>
      <c r="AK268" s="41"/>
      <c r="AL268" s="42"/>
      <c r="AM268" s="43">
        <f t="array" ref="AM268:AP268">AI268:AL268/4</f>
        <v>0</v>
      </c>
      <c r="AN268" s="44"/>
      <c r="AO268" s="44"/>
      <c r="AP268" s="45"/>
      <c r="AQ268" s="46"/>
    </row>
    <row r="269" ht="15.75" customHeight="1">
      <c r="A269" s="30"/>
      <c r="B269" s="79" t="s">
        <v>15</v>
      </c>
      <c r="C269" s="69"/>
      <c r="D269" s="103">
        <v>12.0</v>
      </c>
      <c r="E269" s="103">
        <v>12.0</v>
      </c>
      <c r="F269" s="80"/>
      <c r="G269" s="103">
        <v>9.0</v>
      </c>
      <c r="H269" s="103">
        <v>9.0</v>
      </c>
      <c r="I269" s="103">
        <v>9.0</v>
      </c>
      <c r="J269" s="103">
        <v>9.0</v>
      </c>
      <c r="K269" s="80"/>
      <c r="L269" s="80"/>
      <c r="M269" s="103"/>
      <c r="N269" s="103">
        <v>9.0</v>
      </c>
      <c r="O269" s="103">
        <v>9.0</v>
      </c>
      <c r="P269" s="103">
        <v>9.0</v>
      </c>
      <c r="Q269" s="103">
        <v>9.0</v>
      </c>
      <c r="R269" s="103">
        <v>9.0</v>
      </c>
      <c r="S269" s="80"/>
      <c r="T269" s="80"/>
      <c r="U269" s="80"/>
      <c r="V269" s="103">
        <v>0.0</v>
      </c>
      <c r="W269" s="80"/>
      <c r="X269" s="80"/>
      <c r="Y269" s="80"/>
      <c r="Z269" s="80"/>
      <c r="AA269" s="80"/>
      <c r="AB269" s="80"/>
      <c r="AC269" s="80"/>
      <c r="AD269" s="81"/>
      <c r="AE269" s="92"/>
      <c r="AF269" s="41"/>
      <c r="AG269" s="93"/>
      <c r="AH269" s="40"/>
      <c r="AI269" s="55">
        <f t="shared" si="14"/>
        <v>105</v>
      </c>
      <c r="AJ269" s="56"/>
      <c r="AK269" s="56"/>
      <c r="AL269" s="57"/>
      <c r="AM269" s="43">
        <f t="array" ref="AM269:AP269">AI269:AL269/4</f>
        <v>26.25</v>
      </c>
      <c r="AN269" s="44"/>
      <c r="AO269" s="44"/>
      <c r="AP269" s="45"/>
      <c r="AQ269" s="46"/>
    </row>
    <row r="270" ht="15.75" customHeight="1">
      <c r="A270" s="4" t="s">
        <v>19</v>
      </c>
      <c r="B270" s="5"/>
      <c r="C270" s="6">
        <v>1.0</v>
      </c>
      <c r="D270" s="7">
        <v>2.0</v>
      </c>
      <c r="E270" s="8">
        <v>3.0</v>
      </c>
      <c r="F270" s="9">
        <v>4.0</v>
      </c>
      <c r="G270" s="9">
        <v>5.0</v>
      </c>
      <c r="H270" s="10">
        <v>6.0</v>
      </c>
      <c r="I270" s="11">
        <v>7.0</v>
      </c>
      <c r="J270" s="12">
        <v>8.0</v>
      </c>
      <c r="K270" s="13">
        <v>9.0</v>
      </c>
      <c r="L270" s="14">
        <v>10.0</v>
      </c>
      <c r="M270" s="9">
        <v>11.0</v>
      </c>
      <c r="N270" s="9">
        <v>12.0</v>
      </c>
      <c r="O270" s="10">
        <v>13.0</v>
      </c>
      <c r="P270" s="11">
        <v>14.0</v>
      </c>
      <c r="Q270" s="12">
        <v>15.0</v>
      </c>
      <c r="R270" s="11">
        <v>16.0</v>
      </c>
      <c r="S270" s="9">
        <v>17.0</v>
      </c>
      <c r="T270" s="9">
        <v>18.0</v>
      </c>
      <c r="U270" s="9">
        <v>19.0</v>
      </c>
      <c r="V270" s="15">
        <v>20.0</v>
      </c>
      <c r="W270" s="16">
        <v>21.0</v>
      </c>
      <c r="X270" s="17">
        <v>22.0</v>
      </c>
      <c r="Y270" s="7">
        <v>23.0</v>
      </c>
      <c r="Z270" s="8">
        <v>24.0</v>
      </c>
      <c r="AA270" s="8">
        <v>25.0</v>
      </c>
      <c r="AB270" s="8">
        <v>26.0</v>
      </c>
      <c r="AC270" s="15">
        <v>27.0</v>
      </c>
      <c r="AD270" s="18">
        <v>28.0</v>
      </c>
      <c r="AE270" s="19">
        <v>29.0</v>
      </c>
      <c r="AF270" s="6">
        <v>30.0</v>
      </c>
      <c r="AG270" s="20">
        <v>31.0</v>
      </c>
      <c r="AH270" s="21"/>
      <c r="AI270" s="22" t="s">
        <v>1</v>
      </c>
      <c r="AJ270" s="5"/>
      <c r="AK270" s="5"/>
      <c r="AL270" s="5"/>
      <c r="AM270" s="22" t="s">
        <v>2</v>
      </c>
      <c r="AN270" s="5"/>
      <c r="AO270" s="5"/>
      <c r="AP270" s="23"/>
      <c r="AQ270" s="46"/>
    </row>
    <row r="271" ht="15.75" customHeight="1">
      <c r="A271" s="25"/>
      <c r="B271" s="2"/>
      <c r="C271" s="26"/>
      <c r="D271" s="27"/>
      <c r="E271" s="28"/>
      <c r="F271" s="28"/>
      <c r="G271" s="28"/>
      <c r="H271" s="29"/>
      <c r="I271" s="30"/>
      <c r="J271" s="31"/>
      <c r="K271" s="27"/>
      <c r="L271" s="28"/>
      <c r="M271" s="28"/>
      <c r="N271" s="28"/>
      <c r="O271" s="29"/>
      <c r="P271" s="30"/>
      <c r="Q271" s="31"/>
      <c r="R271" s="30"/>
      <c r="S271" s="28"/>
      <c r="T271" s="28"/>
      <c r="U271" s="28"/>
      <c r="V271" s="29"/>
      <c r="W271" s="30"/>
      <c r="X271" s="31"/>
      <c r="Y271" s="27"/>
      <c r="Z271" s="28"/>
      <c r="AA271" s="28"/>
      <c r="AB271" s="28"/>
      <c r="AC271" s="29"/>
      <c r="AD271" s="25"/>
      <c r="AE271" s="32"/>
      <c r="AF271" s="26"/>
      <c r="AG271" s="2"/>
      <c r="AH271" s="21"/>
      <c r="AI271" s="25"/>
      <c r="AJ271" s="2"/>
      <c r="AK271" s="2"/>
      <c r="AL271" s="2"/>
      <c r="AM271" s="25"/>
      <c r="AN271" s="2"/>
      <c r="AO271" s="2"/>
      <c r="AP271" s="33"/>
      <c r="AQ271" s="46"/>
    </row>
    <row r="272" ht="15.75" customHeight="1">
      <c r="A272" s="34" t="s">
        <v>3</v>
      </c>
      <c r="B272" s="35" t="s">
        <v>4</v>
      </c>
      <c r="C272" s="102">
        <v>9.0</v>
      </c>
      <c r="D272" s="106">
        <v>7.0</v>
      </c>
      <c r="E272" s="37"/>
      <c r="F272" s="37"/>
      <c r="G272" s="37"/>
      <c r="H272" s="37"/>
      <c r="I272" s="37"/>
      <c r="J272" s="37"/>
      <c r="K272" s="37"/>
      <c r="L272" s="101">
        <v>9.0</v>
      </c>
      <c r="M272" s="101">
        <v>12.0</v>
      </c>
      <c r="N272" s="101"/>
      <c r="O272" s="101">
        <v>12.0</v>
      </c>
      <c r="P272" s="101">
        <v>12.0</v>
      </c>
      <c r="Q272" s="101">
        <v>12.0</v>
      </c>
      <c r="R272" s="101"/>
      <c r="S272" s="101">
        <v>12.0</v>
      </c>
      <c r="T272" s="101">
        <v>9.0</v>
      </c>
      <c r="U272" s="101">
        <v>12.0</v>
      </c>
      <c r="V272" s="101"/>
      <c r="W272" s="101">
        <v>12.0</v>
      </c>
      <c r="X272" s="101">
        <v>7.0</v>
      </c>
      <c r="Y272" s="53"/>
      <c r="Z272" s="37"/>
      <c r="AA272" s="37"/>
      <c r="AB272" s="37"/>
      <c r="AC272" s="37"/>
      <c r="AD272" s="162"/>
      <c r="AE272" s="162"/>
      <c r="AF272" s="106">
        <v>12.0</v>
      </c>
      <c r="AG272" s="106">
        <v>12.0</v>
      </c>
      <c r="AH272" s="40"/>
      <c r="AI272" s="39">
        <f>SUM(C272:AG272)</f>
        <v>149</v>
      </c>
      <c r="AJ272" s="41"/>
      <c r="AK272" s="41"/>
      <c r="AL272" s="42"/>
      <c r="AM272" s="43">
        <f t="array" ref="AM272:AP272">AI272:AL272/4</f>
        <v>37.25</v>
      </c>
      <c r="AN272" s="44"/>
      <c r="AO272" s="44"/>
      <c r="AP272" s="45"/>
      <c r="AQ272" s="46"/>
    </row>
    <row r="273" ht="15.75" customHeight="1">
      <c r="A273" s="47"/>
      <c r="B273" s="163"/>
      <c r="C273" s="164"/>
      <c r="D273" s="106"/>
      <c r="E273" s="37"/>
      <c r="F273" s="37"/>
      <c r="G273" s="37"/>
      <c r="H273" s="37"/>
      <c r="I273" s="37"/>
      <c r="J273" s="37"/>
      <c r="K273" s="37"/>
      <c r="L273" s="101"/>
      <c r="M273" s="101"/>
      <c r="N273" s="101"/>
      <c r="O273" s="101"/>
      <c r="P273" s="101"/>
      <c r="Q273" s="101"/>
      <c r="R273" s="101"/>
      <c r="S273" s="101"/>
      <c r="T273" s="101"/>
      <c r="U273" s="101"/>
      <c r="V273" s="101"/>
      <c r="W273" s="101"/>
      <c r="X273" s="101"/>
      <c r="Y273" s="53"/>
      <c r="Z273" s="37"/>
      <c r="AA273" s="37"/>
      <c r="AB273" s="37"/>
      <c r="AC273" s="37"/>
      <c r="AD273" s="162">
        <f>SUM(AF272, AG272, W272, X272, U273, U272, T272, S272, O272, P272, Q273, Q272, M272, L272, D272, C272)</f>
        <v>149</v>
      </c>
      <c r="AE273" s="162"/>
      <c r="AF273" s="107"/>
      <c r="AG273" s="161"/>
      <c r="AH273" s="40"/>
      <c r="AI273" s="37"/>
      <c r="AJ273" s="37"/>
      <c r="AK273" s="37"/>
      <c r="AL273" s="37"/>
      <c r="AM273" s="165"/>
      <c r="AN273" s="165"/>
      <c r="AO273" s="165"/>
      <c r="AP273" s="165"/>
      <c r="AQ273" s="46"/>
    </row>
    <row r="274" ht="15.75" customHeight="1">
      <c r="A274" s="47"/>
      <c r="B274" s="48" t="s">
        <v>5</v>
      </c>
      <c r="C274" s="43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  <c r="AC274" s="49"/>
      <c r="AD274" s="166"/>
      <c r="AE274" s="166"/>
      <c r="AF274" s="94"/>
      <c r="AG274" s="50"/>
      <c r="AH274" s="40"/>
      <c r="AI274" s="39">
        <f t="shared" ref="AI274:AI289" si="15">SUM(C274:AG274)</f>
        <v>0</v>
      </c>
      <c r="AJ274" s="41"/>
      <c r="AK274" s="41"/>
      <c r="AL274" s="42"/>
      <c r="AM274" s="43">
        <f t="array" ref="AM274:AP274">AI274:AL274/4</f>
        <v>0</v>
      </c>
      <c r="AN274" s="44"/>
      <c r="AO274" s="44"/>
      <c r="AP274" s="45"/>
      <c r="AQ274" s="46"/>
    </row>
    <row r="275" ht="15.75" customHeight="1">
      <c r="A275" s="47"/>
      <c r="B275" s="114" t="s">
        <v>37</v>
      </c>
      <c r="C275" s="43"/>
      <c r="D275" s="49"/>
      <c r="E275" s="49"/>
      <c r="F275" s="49"/>
      <c r="G275" s="49"/>
      <c r="H275" s="49"/>
      <c r="I275" s="49"/>
      <c r="J275" s="49"/>
      <c r="K275" s="49"/>
      <c r="L275" s="99">
        <v>12.0</v>
      </c>
      <c r="M275" s="119">
        <v>9.0</v>
      </c>
      <c r="N275" s="87"/>
      <c r="O275" s="87"/>
      <c r="P275" s="87"/>
      <c r="Q275" s="87"/>
      <c r="R275" s="86"/>
      <c r="S275" s="120">
        <v>9.0</v>
      </c>
      <c r="T275" s="120">
        <v>12.0</v>
      </c>
      <c r="U275" s="87"/>
      <c r="V275" s="87"/>
      <c r="W275" s="87"/>
      <c r="X275" s="87"/>
      <c r="Y275" s="49"/>
      <c r="Z275" s="49"/>
      <c r="AA275" s="49"/>
      <c r="AB275" s="49"/>
      <c r="AC275" s="87"/>
      <c r="AD275" s="167"/>
      <c r="AE275" s="167"/>
      <c r="AF275" s="87"/>
      <c r="AG275" s="120">
        <v>9.0</v>
      </c>
      <c r="AH275" s="40"/>
      <c r="AI275" s="39">
        <f t="shared" si="15"/>
        <v>51</v>
      </c>
      <c r="AJ275" s="41"/>
      <c r="AK275" s="41"/>
      <c r="AL275" s="42"/>
      <c r="AM275" s="43">
        <f t="array" ref="AM275:AP275">AI275:AL275/4</f>
        <v>12.75</v>
      </c>
      <c r="AN275" s="44"/>
      <c r="AO275" s="44"/>
      <c r="AP275" s="45"/>
      <c r="AQ275" s="46"/>
    </row>
    <row r="276" ht="15.75" customHeight="1">
      <c r="A276" s="47"/>
      <c r="B276" s="48"/>
      <c r="C276" s="43"/>
      <c r="D276" s="49"/>
      <c r="E276" s="49"/>
      <c r="F276" s="49"/>
      <c r="G276" s="49"/>
      <c r="H276" s="49"/>
      <c r="I276" s="49"/>
      <c r="J276" s="49"/>
      <c r="K276" s="49"/>
      <c r="L276" s="49"/>
      <c r="M276" s="88"/>
      <c r="N276" s="89"/>
      <c r="O276" s="89"/>
      <c r="P276" s="89"/>
      <c r="Q276" s="89"/>
      <c r="R276" s="88"/>
      <c r="S276" s="89"/>
      <c r="T276" s="89"/>
      <c r="U276" s="89"/>
      <c r="V276" s="89"/>
      <c r="W276" s="89"/>
      <c r="X276" s="89"/>
      <c r="Y276" s="49"/>
      <c r="Z276" s="49"/>
      <c r="AA276" s="49"/>
      <c r="AB276" s="49"/>
      <c r="AC276" s="89"/>
      <c r="AD276" s="168"/>
      <c r="AE276" s="168"/>
      <c r="AF276" s="89"/>
      <c r="AG276" s="89"/>
      <c r="AH276" s="40"/>
      <c r="AI276" s="39">
        <f t="shared" si="15"/>
        <v>0</v>
      </c>
      <c r="AJ276" s="41"/>
      <c r="AK276" s="41"/>
      <c r="AL276" s="42"/>
      <c r="AM276" s="43">
        <f t="array" ref="AM276:AP276">AI276:AL276/4</f>
        <v>0</v>
      </c>
      <c r="AN276" s="44"/>
      <c r="AO276" s="44"/>
      <c r="AP276" s="45"/>
      <c r="AQ276" s="46"/>
    </row>
    <row r="277" ht="15.75" customHeight="1">
      <c r="A277" s="47"/>
      <c r="B277" s="114" t="s">
        <v>13</v>
      </c>
      <c r="C277" s="109">
        <v>12.0</v>
      </c>
      <c r="D277" s="53"/>
      <c r="E277" s="53"/>
      <c r="F277" s="53"/>
      <c r="G277" s="53"/>
      <c r="H277" s="53"/>
      <c r="I277" s="53"/>
      <c r="J277" s="53"/>
      <c r="K277" s="101">
        <v>12.0</v>
      </c>
      <c r="L277" s="101">
        <v>12.0</v>
      </c>
      <c r="M277" s="101">
        <v>12.0</v>
      </c>
      <c r="N277" s="101">
        <v>12.0</v>
      </c>
      <c r="O277" s="101"/>
      <c r="P277" s="101">
        <v>12.0</v>
      </c>
      <c r="Q277" s="101">
        <v>12.0</v>
      </c>
      <c r="R277" s="53"/>
      <c r="S277" s="101"/>
      <c r="T277" s="101">
        <v>12.0</v>
      </c>
      <c r="U277" s="101">
        <v>12.0</v>
      </c>
      <c r="V277" s="101">
        <v>12.0</v>
      </c>
      <c r="W277" s="101">
        <v>12.0</v>
      </c>
      <c r="X277" s="53"/>
      <c r="Y277" s="53"/>
      <c r="Z277" s="53"/>
      <c r="AA277" s="53"/>
      <c r="AB277" s="53"/>
      <c r="AC277" s="53"/>
      <c r="AD277" s="169"/>
      <c r="AE277" s="170">
        <v>12.0</v>
      </c>
      <c r="AF277" s="101">
        <v>12.0</v>
      </c>
      <c r="AG277" s="104">
        <v>12.0</v>
      </c>
      <c r="AH277" s="40"/>
      <c r="AI277" s="39">
        <f t="shared" si="15"/>
        <v>168</v>
      </c>
      <c r="AJ277" s="41"/>
      <c r="AK277" s="41"/>
      <c r="AL277" s="42"/>
      <c r="AM277" s="43">
        <f t="array" ref="AM277:AP277">AI277:AL277/4</f>
        <v>42</v>
      </c>
      <c r="AN277" s="44"/>
      <c r="AO277" s="44"/>
      <c r="AP277" s="45"/>
      <c r="AQ277" s="46"/>
    </row>
    <row r="278" ht="15.75" customHeight="1">
      <c r="A278" s="47"/>
      <c r="B278" s="114" t="s">
        <v>25</v>
      </c>
      <c r="C278" s="52"/>
      <c r="D278" s="53"/>
      <c r="E278" s="53"/>
      <c r="F278" s="53"/>
      <c r="G278" s="53"/>
      <c r="H278" s="53"/>
      <c r="I278" s="53"/>
      <c r="J278" s="53"/>
      <c r="K278" s="101">
        <v>12.0</v>
      </c>
      <c r="L278" s="101">
        <v>12.0</v>
      </c>
      <c r="M278" s="53"/>
      <c r="N278" s="53"/>
      <c r="O278" s="101">
        <v>12.0</v>
      </c>
      <c r="P278" s="101">
        <v>12.0</v>
      </c>
      <c r="Q278" s="101">
        <v>12.0</v>
      </c>
      <c r="R278" s="101">
        <v>12.0</v>
      </c>
      <c r="S278" s="101">
        <v>12.0</v>
      </c>
      <c r="T278" s="53"/>
      <c r="U278" s="101">
        <v>12.0</v>
      </c>
      <c r="V278" s="101">
        <v>12.0</v>
      </c>
      <c r="W278" s="53"/>
      <c r="X278" s="53"/>
      <c r="Y278" s="53"/>
      <c r="Z278" s="53"/>
      <c r="AA278" s="53"/>
      <c r="AB278" s="53"/>
      <c r="AC278" s="53"/>
      <c r="AD278" s="169"/>
      <c r="AE278" s="170">
        <v>12.0</v>
      </c>
      <c r="AF278" s="101">
        <v>12.0</v>
      </c>
      <c r="AG278" s="104">
        <v>12.0</v>
      </c>
      <c r="AH278" s="40"/>
      <c r="AI278" s="39">
        <f t="shared" si="15"/>
        <v>144</v>
      </c>
      <c r="AJ278" s="41"/>
      <c r="AK278" s="41"/>
      <c r="AL278" s="42"/>
      <c r="AM278" s="43">
        <f t="array" ref="AM278:AP278">AI278:AL278/4</f>
        <v>36</v>
      </c>
      <c r="AN278" s="44"/>
      <c r="AO278" s="44"/>
      <c r="AP278" s="45"/>
      <c r="AQ278" s="46"/>
    </row>
    <row r="279" ht="15.75" customHeight="1">
      <c r="A279" s="47"/>
      <c r="B279" s="48"/>
      <c r="C279" s="52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169"/>
      <c r="AE279" s="169"/>
      <c r="AF279" s="53"/>
      <c r="AG279" s="55"/>
      <c r="AH279" s="40"/>
      <c r="AI279" s="39">
        <f t="shared" si="15"/>
        <v>0</v>
      </c>
      <c r="AJ279" s="41"/>
      <c r="AK279" s="41"/>
      <c r="AL279" s="42"/>
      <c r="AM279" s="43">
        <f t="array" ref="AM279:AP279">AI279:AL279/4</f>
        <v>0</v>
      </c>
      <c r="AN279" s="44"/>
      <c r="AO279" s="44"/>
      <c r="AP279" s="45"/>
      <c r="AQ279" s="46"/>
    </row>
    <row r="280" ht="15.75" customHeight="1">
      <c r="A280" s="30"/>
      <c r="B280" s="48"/>
      <c r="C280" s="52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169"/>
      <c r="AE280" s="169"/>
      <c r="AF280" s="53"/>
      <c r="AG280" s="55"/>
      <c r="AH280" s="40"/>
      <c r="AI280" s="55">
        <f t="shared" si="15"/>
        <v>0</v>
      </c>
      <c r="AJ280" s="56"/>
      <c r="AK280" s="56"/>
      <c r="AL280" s="57"/>
      <c r="AM280" s="52">
        <f t="array" ref="AM280:AP280">AI280:AL280/4</f>
        <v>0</v>
      </c>
      <c r="AN280" s="56"/>
      <c r="AO280" s="56"/>
      <c r="AP280" s="57"/>
      <c r="AQ280" s="46"/>
    </row>
    <row r="281" ht="15.75" customHeight="1">
      <c r="A281" s="58" t="s">
        <v>8</v>
      </c>
      <c r="B281" s="59" t="s">
        <v>9</v>
      </c>
      <c r="C281" s="36"/>
      <c r="D281" s="100">
        <v>17.0</v>
      </c>
      <c r="E281" s="100">
        <v>24.0</v>
      </c>
      <c r="F281" s="100">
        <v>24.0</v>
      </c>
      <c r="G281" s="100">
        <v>24.0</v>
      </c>
      <c r="H281" s="100">
        <v>24.0</v>
      </c>
      <c r="I281" s="100">
        <v>24.0</v>
      </c>
      <c r="J281" s="100">
        <v>24.0</v>
      </c>
      <c r="K281" s="100">
        <v>12.0</v>
      </c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100">
        <v>17.0</v>
      </c>
      <c r="Y281" s="100">
        <v>24.0</v>
      </c>
      <c r="Z281" s="100">
        <v>24.0</v>
      </c>
      <c r="AA281" s="100">
        <v>24.0</v>
      </c>
      <c r="AB281" s="100">
        <v>24.0</v>
      </c>
      <c r="AC281" s="100">
        <v>24.0</v>
      </c>
      <c r="AD281" s="171">
        <v>24.0</v>
      </c>
      <c r="AE281" s="171">
        <v>12.0</v>
      </c>
      <c r="AF281" s="61"/>
      <c r="AG281" s="64"/>
      <c r="AH281" s="40"/>
      <c r="AI281" s="64">
        <f t="shared" si="15"/>
        <v>346</v>
      </c>
      <c r="AJ281" s="65"/>
      <c r="AK281" s="65"/>
      <c r="AL281" s="66"/>
      <c r="AM281" s="36">
        <f t="array" ref="AM281:AP281">AI281:AL281/4</f>
        <v>86.5</v>
      </c>
      <c r="AN281" s="65"/>
      <c r="AO281" s="65"/>
      <c r="AP281" s="66"/>
      <c r="AQ281" s="46"/>
    </row>
    <row r="282" ht="15.75" customHeight="1">
      <c r="A282" s="67"/>
      <c r="B282" s="68" t="s">
        <v>18</v>
      </c>
      <c r="C282" s="52"/>
      <c r="D282" s="101">
        <v>17.0</v>
      </c>
      <c r="E282" s="101">
        <v>24.0</v>
      </c>
      <c r="F282" s="101">
        <v>24.0</v>
      </c>
      <c r="G282" s="101">
        <v>24.0</v>
      </c>
      <c r="H282" s="101">
        <v>24.0</v>
      </c>
      <c r="I282" s="101">
        <v>24.0</v>
      </c>
      <c r="J282" s="101">
        <v>24.0</v>
      </c>
      <c r="K282" s="101">
        <v>12.0</v>
      </c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101">
        <v>17.0</v>
      </c>
      <c r="Y282" s="101">
        <v>24.0</v>
      </c>
      <c r="Z282" s="101">
        <v>24.0</v>
      </c>
      <c r="AA282" s="101">
        <v>24.0</v>
      </c>
      <c r="AB282" s="101">
        <v>24.0</v>
      </c>
      <c r="AC282" s="101">
        <v>24.0</v>
      </c>
      <c r="AD282" s="170">
        <v>24.0</v>
      </c>
      <c r="AE282" s="170">
        <v>12.0</v>
      </c>
      <c r="AF282" s="53"/>
      <c r="AG282" s="55"/>
      <c r="AH282" s="40"/>
      <c r="AI282" s="39">
        <f t="shared" si="15"/>
        <v>346</v>
      </c>
      <c r="AJ282" s="41"/>
      <c r="AK282" s="41"/>
      <c r="AL282" s="42"/>
      <c r="AM282" s="43">
        <f t="array" ref="AM282:AP282">AI282:AL282/4</f>
        <v>86.5</v>
      </c>
      <c r="AN282" s="44"/>
      <c r="AO282" s="44"/>
      <c r="AP282" s="45"/>
      <c r="AQ282" s="46"/>
    </row>
    <row r="283" ht="15.75" customHeight="1">
      <c r="A283" s="32"/>
      <c r="B283" s="68"/>
      <c r="C283" s="52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169"/>
      <c r="AE283" s="169"/>
      <c r="AF283" s="53"/>
      <c r="AG283" s="55"/>
      <c r="AH283" s="40"/>
      <c r="AI283" s="55">
        <f t="shared" si="15"/>
        <v>0</v>
      </c>
      <c r="AJ283" s="56"/>
      <c r="AK283" s="56"/>
      <c r="AL283" s="57"/>
      <c r="AM283" s="40">
        <f t="array" ref="AM283:AP283">AI283:AL283/4</f>
        <v>0</v>
      </c>
      <c r="AP283" s="74"/>
      <c r="AQ283" s="46"/>
    </row>
    <row r="284" ht="15.75" customHeight="1">
      <c r="A284" s="75" t="s">
        <v>11</v>
      </c>
      <c r="B284" s="76" t="s">
        <v>12</v>
      </c>
      <c r="C284" s="102">
        <v>12.0</v>
      </c>
      <c r="D284" s="100">
        <v>7.0</v>
      </c>
      <c r="E284" s="61"/>
      <c r="F284" s="61"/>
      <c r="G284" s="61"/>
      <c r="H284" s="61"/>
      <c r="I284" s="61"/>
      <c r="J284" s="61"/>
      <c r="K284" s="61"/>
      <c r="L284" s="61"/>
      <c r="M284" s="61"/>
      <c r="N284" s="100">
        <v>12.0</v>
      </c>
      <c r="O284" s="61"/>
      <c r="P284" s="100"/>
      <c r="Q284" s="61"/>
      <c r="R284" s="100">
        <v>12.0</v>
      </c>
      <c r="S284" s="61"/>
      <c r="T284" s="61"/>
      <c r="U284" s="61"/>
      <c r="V284" s="100">
        <v>12.0</v>
      </c>
      <c r="W284" s="61"/>
      <c r="X284" s="100">
        <v>7.0</v>
      </c>
      <c r="Y284" s="61"/>
      <c r="Z284" s="61"/>
      <c r="AA284" s="61"/>
      <c r="AB284" s="61"/>
      <c r="AC284" s="61"/>
      <c r="AD284" s="172"/>
      <c r="AE284" s="172"/>
      <c r="AF284" s="61"/>
      <c r="AG284" s="64"/>
      <c r="AH284" s="40"/>
      <c r="AI284" s="64">
        <f t="shared" si="15"/>
        <v>62</v>
      </c>
      <c r="AJ284" s="65"/>
      <c r="AK284" s="65"/>
      <c r="AL284" s="66"/>
      <c r="AM284" s="36">
        <f t="array" ref="AM284:AP284">AI284:AL284/4</f>
        <v>15.5</v>
      </c>
      <c r="AN284" s="65"/>
      <c r="AO284" s="65"/>
      <c r="AP284" s="66"/>
      <c r="AQ284" s="46"/>
    </row>
    <row r="285" ht="15.75" customHeight="1">
      <c r="A285" s="47"/>
      <c r="B285" s="78" t="s">
        <v>13</v>
      </c>
      <c r="C285" s="43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  <c r="AD285" s="166"/>
      <c r="AE285" s="166"/>
      <c r="AF285" s="49"/>
      <c r="AG285" s="50"/>
      <c r="AH285" s="40"/>
      <c r="AI285" s="39">
        <f t="shared" si="15"/>
        <v>0</v>
      </c>
      <c r="AJ285" s="41"/>
      <c r="AK285" s="41"/>
      <c r="AL285" s="42"/>
      <c r="AM285" s="43">
        <f t="array" ref="AM285:AP285">AI285:AL285/4</f>
        <v>0</v>
      </c>
      <c r="AN285" s="44"/>
      <c r="AO285" s="44"/>
      <c r="AP285" s="45"/>
      <c r="AQ285" s="46"/>
    </row>
    <row r="286" ht="15.75" customHeight="1">
      <c r="A286" s="47"/>
      <c r="B286" s="78" t="s">
        <v>14</v>
      </c>
      <c r="C286" s="43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  <c r="AB286" s="49"/>
      <c r="AC286" s="49"/>
      <c r="AD286" s="166"/>
      <c r="AE286" s="166"/>
      <c r="AF286" s="49"/>
      <c r="AG286" s="50"/>
      <c r="AH286" s="40"/>
      <c r="AI286" s="39">
        <f t="shared" si="15"/>
        <v>0</v>
      </c>
      <c r="AJ286" s="41"/>
      <c r="AK286" s="41"/>
      <c r="AL286" s="42"/>
      <c r="AM286" s="43">
        <f t="array" ref="AM286:AP286">AI286:AL286/4</f>
        <v>0</v>
      </c>
      <c r="AN286" s="44"/>
      <c r="AO286" s="44"/>
      <c r="AP286" s="45"/>
      <c r="AQ286" s="46"/>
    </row>
    <row r="287" ht="15.75" customHeight="1">
      <c r="A287" s="47"/>
      <c r="B287" s="78"/>
      <c r="C287" s="43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  <c r="AB287" s="49"/>
      <c r="AC287" s="49"/>
      <c r="AD287" s="166"/>
      <c r="AE287" s="166"/>
      <c r="AF287" s="94"/>
      <c r="AG287" s="50"/>
      <c r="AH287" s="40"/>
      <c r="AI287" s="39">
        <f t="shared" si="15"/>
        <v>0</v>
      </c>
      <c r="AJ287" s="41"/>
      <c r="AK287" s="41"/>
      <c r="AL287" s="42"/>
      <c r="AM287" s="43">
        <f t="array" ref="AM287:AP287">AI287:AL287/4</f>
        <v>0</v>
      </c>
      <c r="AN287" s="44"/>
      <c r="AO287" s="44"/>
      <c r="AP287" s="45"/>
      <c r="AQ287" s="46"/>
    </row>
    <row r="288" ht="15.75" customHeight="1">
      <c r="A288" s="47"/>
      <c r="B288" s="78"/>
      <c r="C288" s="108">
        <v>12.0</v>
      </c>
      <c r="D288" s="49"/>
      <c r="E288" s="49"/>
      <c r="F288" s="49"/>
      <c r="G288" s="49"/>
      <c r="H288" s="49"/>
      <c r="I288" s="49"/>
      <c r="J288" s="49"/>
      <c r="K288" s="49"/>
      <c r="L288" s="49"/>
      <c r="M288" s="99">
        <v>12.0</v>
      </c>
      <c r="N288" s="99">
        <v>12.0</v>
      </c>
      <c r="O288" s="99">
        <v>12.0</v>
      </c>
      <c r="P288" s="49"/>
      <c r="Q288" s="49"/>
      <c r="R288" s="99">
        <v>12.0</v>
      </c>
      <c r="S288" s="99">
        <v>12.0</v>
      </c>
      <c r="T288" s="99">
        <v>12.0</v>
      </c>
      <c r="U288" s="49"/>
      <c r="V288" s="49"/>
      <c r="W288" s="99">
        <v>12.0</v>
      </c>
      <c r="X288" s="49"/>
      <c r="Y288" s="49"/>
      <c r="Z288" s="49"/>
      <c r="AA288" s="49"/>
      <c r="AB288" s="49"/>
      <c r="AC288" s="49"/>
      <c r="AD288" s="166"/>
      <c r="AE288" s="166"/>
      <c r="AF288" s="94"/>
      <c r="AG288" s="50"/>
      <c r="AH288" s="40"/>
      <c r="AI288" s="39">
        <f t="shared" si="15"/>
        <v>96</v>
      </c>
      <c r="AJ288" s="41"/>
      <c r="AK288" s="41"/>
      <c r="AL288" s="42"/>
      <c r="AM288" s="43">
        <f t="array" ref="AM288:AP288">AI288:AL288/4</f>
        <v>24</v>
      </c>
      <c r="AN288" s="44"/>
      <c r="AO288" s="44"/>
      <c r="AP288" s="45"/>
      <c r="AQ288" s="46"/>
    </row>
    <row r="289" ht="15.75" customHeight="1">
      <c r="A289" s="30"/>
      <c r="B289" s="79" t="s">
        <v>15</v>
      </c>
      <c r="C289" s="69"/>
      <c r="D289" s="80"/>
      <c r="E289" s="80"/>
      <c r="F289" s="80"/>
      <c r="G289" s="80"/>
      <c r="H289" s="80"/>
      <c r="I289" s="80"/>
      <c r="J289" s="80"/>
      <c r="K289" s="80"/>
      <c r="L289" s="80"/>
      <c r="M289" s="80"/>
      <c r="N289" s="129">
        <v>9.0</v>
      </c>
      <c r="O289" s="129">
        <v>9.0</v>
      </c>
      <c r="P289" s="129">
        <v>9.0</v>
      </c>
      <c r="Q289" s="129">
        <v>9.0</v>
      </c>
      <c r="R289" s="129">
        <v>9.0</v>
      </c>
      <c r="S289" s="80"/>
      <c r="T289" s="80"/>
      <c r="U289" s="129">
        <v>9.0</v>
      </c>
      <c r="V289" s="129">
        <v>9.0</v>
      </c>
      <c r="W289" s="129">
        <v>9.0</v>
      </c>
      <c r="X289" s="80"/>
      <c r="Y289" s="80"/>
      <c r="Z289" s="80"/>
      <c r="AA289" s="80"/>
      <c r="AB289" s="80"/>
      <c r="AC289" s="80"/>
      <c r="AD289" s="173"/>
      <c r="AE289" s="173"/>
      <c r="AF289" s="129">
        <v>9.0</v>
      </c>
      <c r="AG289" s="55"/>
      <c r="AH289" s="40"/>
      <c r="AI289" s="55">
        <f t="shared" si="15"/>
        <v>81</v>
      </c>
      <c r="AJ289" s="56"/>
      <c r="AK289" s="56"/>
      <c r="AL289" s="57"/>
      <c r="AM289" s="43">
        <f t="array" ref="AM289:AP289">AI289:AL289/4</f>
        <v>20.25</v>
      </c>
      <c r="AN289" s="44"/>
      <c r="AO289" s="44"/>
      <c r="AP289" s="45"/>
      <c r="AQ289" s="46"/>
    </row>
    <row r="290" ht="15.75" customHeight="1">
      <c r="A290" s="4" t="s">
        <v>20</v>
      </c>
      <c r="B290" s="5"/>
      <c r="C290" s="6">
        <v>1.0</v>
      </c>
      <c r="D290" s="13">
        <v>2.0</v>
      </c>
      <c r="E290" s="14">
        <v>3.0</v>
      </c>
      <c r="F290" s="9">
        <v>4.0</v>
      </c>
      <c r="G290" s="9">
        <v>5.0</v>
      </c>
      <c r="H290" s="174">
        <v>6.0</v>
      </c>
      <c r="I290" s="11">
        <v>7.0</v>
      </c>
      <c r="J290" s="12">
        <v>8.0</v>
      </c>
      <c r="K290" s="13">
        <v>9.0</v>
      </c>
      <c r="L290" s="14">
        <v>10.0</v>
      </c>
      <c r="M290" s="9">
        <v>11.0</v>
      </c>
      <c r="N290" s="9">
        <v>12.0</v>
      </c>
      <c r="O290" s="10">
        <v>13.0</v>
      </c>
      <c r="P290" s="11">
        <v>14.0</v>
      </c>
      <c r="Q290" s="12">
        <v>15.0</v>
      </c>
      <c r="R290" s="11">
        <v>16.0</v>
      </c>
      <c r="S290" s="9">
        <v>17.0</v>
      </c>
      <c r="T290" s="9">
        <v>18.0</v>
      </c>
      <c r="U290" s="9">
        <v>19.0</v>
      </c>
      <c r="V290" s="15">
        <v>20.0</v>
      </c>
      <c r="W290" s="16">
        <v>21.0</v>
      </c>
      <c r="X290" s="17">
        <v>22.0</v>
      </c>
      <c r="Y290" s="7">
        <v>23.0</v>
      </c>
      <c r="Z290" s="8">
        <v>24.0</v>
      </c>
      <c r="AA290" s="8">
        <v>25.0</v>
      </c>
      <c r="AB290" s="8">
        <v>26.0</v>
      </c>
      <c r="AC290" s="15">
        <v>27.0</v>
      </c>
      <c r="AD290" s="16">
        <v>28.0</v>
      </c>
      <c r="AE290" s="10">
        <v>29.0</v>
      </c>
      <c r="AF290" s="16">
        <v>30.0</v>
      </c>
      <c r="AG290" s="95" t="s">
        <v>17</v>
      </c>
      <c r="AH290" s="21"/>
      <c r="AI290" s="22" t="s">
        <v>1</v>
      </c>
      <c r="AJ290" s="5"/>
      <c r="AK290" s="5"/>
      <c r="AL290" s="5"/>
      <c r="AM290" s="22" t="s">
        <v>2</v>
      </c>
      <c r="AN290" s="5"/>
      <c r="AO290" s="5"/>
      <c r="AP290" s="23"/>
      <c r="AQ290" s="46"/>
    </row>
    <row r="291" ht="15.75" customHeight="1">
      <c r="A291" s="25"/>
      <c r="B291" s="2"/>
      <c r="C291" s="26"/>
      <c r="D291" s="27"/>
      <c r="E291" s="28"/>
      <c r="F291" s="28"/>
      <c r="G291" s="28"/>
      <c r="H291" s="29"/>
      <c r="I291" s="30"/>
      <c r="J291" s="31"/>
      <c r="K291" s="27"/>
      <c r="L291" s="28"/>
      <c r="M291" s="28"/>
      <c r="N291" s="28"/>
      <c r="O291" s="29"/>
      <c r="P291" s="30"/>
      <c r="Q291" s="31"/>
      <c r="R291" s="30"/>
      <c r="S291" s="28"/>
      <c r="T291" s="28"/>
      <c r="U291" s="28"/>
      <c r="V291" s="29"/>
      <c r="W291" s="30"/>
      <c r="X291" s="31"/>
      <c r="Y291" s="27"/>
      <c r="Z291" s="28"/>
      <c r="AA291" s="28"/>
      <c r="AB291" s="28"/>
      <c r="AC291" s="29"/>
      <c r="AD291" s="30"/>
      <c r="AE291" s="29"/>
      <c r="AF291" s="30"/>
      <c r="AH291" s="21"/>
      <c r="AI291" s="25"/>
      <c r="AJ291" s="2"/>
      <c r="AK291" s="2"/>
      <c r="AL291" s="2"/>
      <c r="AM291" s="25"/>
      <c r="AN291" s="2"/>
      <c r="AO291" s="2"/>
      <c r="AP291" s="33"/>
      <c r="AQ291" s="46"/>
    </row>
    <row r="292" ht="15.75" customHeight="1">
      <c r="A292" s="175" t="s">
        <v>3</v>
      </c>
      <c r="B292" s="35" t="s">
        <v>4</v>
      </c>
      <c r="C292" s="102">
        <v>12.0</v>
      </c>
      <c r="D292" s="106">
        <v>9.0</v>
      </c>
      <c r="E292" s="176"/>
      <c r="F292" s="176"/>
      <c r="G292" s="176">
        <v>12.0</v>
      </c>
      <c r="H292" s="176">
        <v>9.0</v>
      </c>
      <c r="I292" s="99">
        <v>9.0</v>
      </c>
      <c r="J292" s="49"/>
      <c r="K292" s="49"/>
      <c r="L292" s="49"/>
      <c r="M292" s="176"/>
      <c r="N292" s="176"/>
      <c r="O292" s="177"/>
      <c r="P292" s="99">
        <v>12.0</v>
      </c>
      <c r="Q292" s="99">
        <v>12.0</v>
      </c>
      <c r="R292" s="99"/>
      <c r="S292" s="99">
        <v>12.0</v>
      </c>
      <c r="T292" s="178">
        <v>12.0</v>
      </c>
      <c r="U292" s="178"/>
      <c r="V292" s="49"/>
      <c r="W292" s="49"/>
      <c r="X292" s="37"/>
      <c r="Y292" s="49"/>
      <c r="Z292" s="49"/>
      <c r="AA292" s="178"/>
      <c r="AB292" s="178">
        <v>12.0</v>
      </c>
      <c r="AC292" s="99">
        <v>12.0</v>
      </c>
      <c r="AD292" s="106"/>
      <c r="AE292" s="106">
        <v>12.0</v>
      </c>
      <c r="AF292" s="106">
        <v>12.0</v>
      </c>
      <c r="AH292" s="40"/>
      <c r="AI292" s="39">
        <f t="shared" ref="AI292:AI308" si="16">SUM(C292:AG292)</f>
        <v>147</v>
      </c>
      <c r="AJ292" s="41"/>
      <c r="AK292" s="41"/>
      <c r="AL292" s="42"/>
      <c r="AM292" s="43">
        <f t="array" ref="AM292:AP292">AI292:AL292/4</f>
        <v>36.75</v>
      </c>
      <c r="AN292" s="44"/>
      <c r="AO292" s="44"/>
      <c r="AP292" s="45"/>
      <c r="AQ292" s="46"/>
    </row>
    <row r="293" ht="15.75" customHeight="1">
      <c r="A293" s="47"/>
      <c r="B293" s="114" t="s">
        <v>37</v>
      </c>
      <c r="C293" s="108"/>
      <c r="D293" s="49"/>
      <c r="E293" s="166"/>
      <c r="F293" s="166"/>
      <c r="G293" s="166"/>
      <c r="H293" s="166"/>
      <c r="I293" s="49"/>
      <c r="J293" s="49"/>
      <c r="K293" s="49"/>
      <c r="L293" s="88"/>
      <c r="M293" s="166"/>
      <c r="N293" s="166"/>
      <c r="O293" s="179"/>
      <c r="P293" s="111"/>
      <c r="Q293" s="117"/>
      <c r="R293" s="89"/>
      <c r="S293" s="89"/>
      <c r="T293" s="168"/>
      <c r="U293" s="180"/>
      <c r="V293" s="89"/>
      <c r="W293" s="89"/>
      <c r="X293" s="49"/>
      <c r="Y293" s="49"/>
      <c r="Z293" s="49"/>
      <c r="AA293" s="166"/>
      <c r="AB293" s="166"/>
      <c r="AC293" s="49"/>
      <c r="AD293" s="99"/>
      <c r="AE293" s="99"/>
      <c r="AF293" s="49"/>
      <c r="AH293" s="40"/>
      <c r="AI293" s="39">
        <f t="shared" si="16"/>
        <v>0</v>
      </c>
      <c r="AJ293" s="41"/>
      <c r="AK293" s="41"/>
      <c r="AL293" s="42"/>
      <c r="AM293" s="43">
        <f t="array" ref="AM293:AP293">AI293:AL293/4</f>
        <v>0</v>
      </c>
      <c r="AN293" s="44"/>
      <c r="AO293" s="44"/>
      <c r="AP293" s="45"/>
      <c r="AQ293" s="46"/>
    </row>
    <row r="294" ht="15.75" customHeight="1">
      <c r="A294" s="47"/>
      <c r="B294" s="48" t="s">
        <v>5</v>
      </c>
      <c r="C294" s="43"/>
      <c r="D294" s="49"/>
      <c r="E294" s="166"/>
      <c r="F294" s="166"/>
      <c r="G294" s="166"/>
      <c r="H294" s="166"/>
      <c r="I294" s="49"/>
      <c r="J294" s="49"/>
      <c r="K294" s="86"/>
      <c r="L294" s="87"/>
      <c r="M294" s="166"/>
      <c r="N294" s="166"/>
      <c r="O294" s="179"/>
      <c r="P294" s="86"/>
      <c r="Q294" s="87"/>
      <c r="R294" s="87"/>
      <c r="S294" s="87"/>
      <c r="T294" s="167"/>
      <c r="U294" s="167"/>
      <c r="V294" s="87"/>
      <c r="W294" s="49"/>
      <c r="X294" s="49"/>
      <c r="Y294" s="49"/>
      <c r="Z294" s="49"/>
      <c r="AA294" s="167"/>
      <c r="AB294" s="167"/>
      <c r="AC294" s="87"/>
      <c r="AD294" s="87"/>
      <c r="AE294" s="49"/>
      <c r="AF294" s="49"/>
      <c r="AH294" s="40"/>
      <c r="AI294" s="39">
        <f t="shared" si="16"/>
        <v>0</v>
      </c>
      <c r="AJ294" s="41"/>
      <c r="AK294" s="41"/>
      <c r="AL294" s="42"/>
      <c r="AM294" s="43">
        <f t="array" ref="AM294:AP294">AI294:AL294/4</f>
        <v>0</v>
      </c>
      <c r="AN294" s="44"/>
      <c r="AO294" s="44"/>
      <c r="AP294" s="45"/>
      <c r="AQ294" s="46"/>
    </row>
    <row r="295" ht="15.75" customHeight="1">
      <c r="A295" s="47"/>
      <c r="B295" s="114" t="s">
        <v>38</v>
      </c>
      <c r="C295" s="43"/>
      <c r="D295" s="99">
        <v>12.0</v>
      </c>
      <c r="E295" s="178">
        <v>12.0</v>
      </c>
      <c r="F295" s="166"/>
      <c r="G295" s="166"/>
      <c r="H295" s="166"/>
      <c r="I295" s="49"/>
      <c r="J295" s="49"/>
      <c r="K295" s="88"/>
      <c r="L295" s="89"/>
      <c r="M295" s="166"/>
      <c r="N295" s="166"/>
      <c r="O295" s="179"/>
      <c r="P295" s="88"/>
      <c r="Q295" s="89"/>
      <c r="R295" s="111">
        <v>12.0</v>
      </c>
      <c r="S295" s="111">
        <v>9.0</v>
      </c>
      <c r="T295" s="168"/>
      <c r="U295" s="168"/>
      <c r="V295" s="89"/>
      <c r="W295" s="49"/>
      <c r="X295" s="49"/>
      <c r="Y295" s="53"/>
      <c r="Z295" s="53"/>
      <c r="AA295" s="168"/>
      <c r="AB295" s="168"/>
      <c r="AC295" s="89"/>
      <c r="AD295" s="89"/>
      <c r="AE295" s="49"/>
      <c r="AF295" s="99">
        <v>9.0</v>
      </c>
      <c r="AH295" s="40"/>
      <c r="AI295" s="39">
        <f t="shared" si="16"/>
        <v>54</v>
      </c>
      <c r="AJ295" s="41"/>
      <c r="AK295" s="41"/>
      <c r="AL295" s="42"/>
      <c r="AM295" s="43">
        <f t="array" ref="AM295:AP295">AI295:AL295/4</f>
        <v>13.5</v>
      </c>
      <c r="AN295" s="44"/>
      <c r="AO295" s="44"/>
      <c r="AP295" s="45"/>
      <c r="AQ295" s="46"/>
    </row>
    <row r="296" ht="15.75" customHeight="1">
      <c r="A296" s="47"/>
      <c r="B296" s="48"/>
      <c r="C296" s="52"/>
      <c r="D296" s="53"/>
      <c r="E296" s="169"/>
      <c r="F296" s="169"/>
      <c r="G296" s="169"/>
      <c r="H296" s="169"/>
      <c r="I296" s="53"/>
      <c r="J296" s="53"/>
      <c r="K296" s="53"/>
      <c r="L296" s="53"/>
      <c r="M296" s="169"/>
      <c r="N296" s="169"/>
      <c r="O296" s="179"/>
      <c r="P296" s="53"/>
      <c r="Q296" s="53"/>
      <c r="R296" s="53"/>
      <c r="S296" s="53"/>
      <c r="T296" s="169"/>
      <c r="U296" s="169"/>
      <c r="V296" s="53"/>
      <c r="W296" s="53"/>
      <c r="X296" s="53"/>
      <c r="Y296" s="53"/>
      <c r="Z296" s="53"/>
      <c r="AA296" s="169"/>
      <c r="AB296" s="169"/>
      <c r="AC296" s="54"/>
      <c r="AD296" s="53"/>
      <c r="AE296" s="53"/>
      <c r="AF296" s="53"/>
      <c r="AH296" s="40"/>
      <c r="AI296" s="39">
        <f t="shared" si="16"/>
        <v>0</v>
      </c>
      <c r="AJ296" s="41"/>
      <c r="AK296" s="41"/>
      <c r="AL296" s="42"/>
      <c r="AM296" s="43">
        <f t="array" ref="AM296:AP296">AI296:AL296/4</f>
        <v>0</v>
      </c>
      <c r="AN296" s="44"/>
      <c r="AO296" s="44"/>
      <c r="AP296" s="45"/>
      <c r="AQ296" s="46"/>
    </row>
    <row r="297" ht="15.75" customHeight="1">
      <c r="A297" s="47"/>
      <c r="B297" s="114" t="s">
        <v>13</v>
      </c>
      <c r="C297" s="109">
        <v>12.0</v>
      </c>
      <c r="D297" s="53"/>
      <c r="E297" s="170">
        <v>12.0</v>
      </c>
      <c r="F297" s="170">
        <v>12.0</v>
      </c>
      <c r="G297" s="170">
        <v>12.0</v>
      </c>
      <c r="H297" s="170">
        <v>12.0</v>
      </c>
      <c r="I297" s="101">
        <v>12.0</v>
      </c>
      <c r="J297" s="53"/>
      <c r="K297" s="53"/>
      <c r="L297" s="53"/>
      <c r="M297" s="169"/>
      <c r="N297" s="169"/>
      <c r="O297" s="181">
        <v>12.0</v>
      </c>
      <c r="P297" s="101">
        <v>12.0</v>
      </c>
      <c r="Q297" s="101">
        <v>12.0</v>
      </c>
      <c r="R297" s="53"/>
      <c r="S297" s="53"/>
      <c r="T297" s="170">
        <v>12.0</v>
      </c>
      <c r="U297" s="169"/>
      <c r="V297" s="53"/>
      <c r="W297" s="53"/>
      <c r="X297" s="53"/>
      <c r="Y297" s="53"/>
      <c r="Z297" s="101">
        <v>12.0</v>
      </c>
      <c r="AA297" s="170"/>
      <c r="AB297" s="170"/>
      <c r="AC297" s="101"/>
      <c r="AD297" s="101">
        <v>12.0</v>
      </c>
      <c r="AE297" s="101">
        <v>12.0</v>
      </c>
      <c r="AF297" s="101">
        <v>12.0</v>
      </c>
      <c r="AH297" s="40"/>
      <c r="AI297" s="39">
        <f t="shared" si="16"/>
        <v>168</v>
      </c>
      <c r="AJ297" s="41"/>
      <c r="AK297" s="41"/>
      <c r="AL297" s="42"/>
      <c r="AM297" s="43">
        <f t="array" ref="AM297:AP297">AI297:AL297/4</f>
        <v>42</v>
      </c>
      <c r="AN297" s="44"/>
      <c r="AO297" s="44"/>
      <c r="AP297" s="45"/>
      <c r="AQ297" s="46"/>
    </row>
    <row r="298" ht="15.75" customHeight="1">
      <c r="A298" s="47"/>
      <c r="B298" s="114" t="s">
        <v>25</v>
      </c>
      <c r="C298" s="109">
        <v>12.0</v>
      </c>
      <c r="D298" s="101">
        <v>12.0</v>
      </c>
      <c r="E298" s="169"/>
      <c r="F298" s="169"/>
      <c r="G298" s="169"/>
      <c r="H298" s="169"/>
      <c r="I298" s="101">
        <v>12.0</v>
      </c>
      <c r="J298" s="53"/>
      <c r="K298" s="53"/>
      <c r="L298" s="53"/>
      <c r="M298" s="169"/>
      <c r="N298" s="169"/>
      <c r="O298" s="181">
        <v>12.0</v>
      </c>
      <c r="P298" s="101">
        <v>12.0</v>
      </c>
      <c r="Q298" s="101">
        <v>12.0</v>
      </c>
      <c r="R298" s="101">
        <v>12.0</v>
      </c>
      <c r="S298" s="101">
        <v>12.0</v>
      </c>
      <c r="T298" s="169"/>
      <c r="U298" s="169"/>
      <c r="V298" s="53"/>
      <c r="W298" s="53"/>
      <c r="X298" s="53"/>
      <c r="Y298" s="53"/>
      <c r="Z298" s="101">
        <v>12.0</v>
      </c>
      <c r="AA298" s="170">
        <v>12.0</v>
      </c>
      <c r="AB298" s="170">
        <v>12.0</v>
      </c>
      <c r="AC298" s="101">
        <v>12.0</v>
      </c>
      <c r="AD298" s="53"/>
      <c r="AE298" s="101">
        <v>12.0</v>
      </c>
      <c r="AF298" s="101">
        <v>12.0</v>
      </c>
      <c r="AH298" s="40"/>
      <c r="AI298" s="39">
        <f t="shared" si="16"/>
        <v>168</v>
      </c>
      <c r="AJ298" s="41"/>
      <c r="AK298" s="41"/>
      <c r="AL298" s="42"/>
      <c r="AM298" s="43">
        <f t="array" ref="AM298:AP298">AI298:AL298/4</f>
        <v>42</v>
      </c>
      <c r="AN298" s="44"/>
      <c r="AO298" s="44"/>
      <c r="AP298" s="45"/>
      <c r="AQ298" s="46"/>
    </row>
    <row r="299" ht="15.75" customHeight="1">
      <c r="A299" s="30"/>
      <c r="B299" s="114" t="s">
        <v>39</v>
      </c>
      <c r="C299" s="52"/>
      <c r="D299" s="53"/>
      <c r="E299" s="170">
        <v>12.0</v>
      </c>
      <c r="F299" s="170">
        <v>12.0</v>
      </c>
      <c r="G299" s="170">
        <v>12.0</v>
      </c>
      <c r="H299" s="169"/>
      <c r="I299" s="53"/>
      <c r="J299" s="53"/>
      <c r="K299" s="53"/>
      <c r="L299" s="53"/>
      <c r="M299" s="169"/>
      <c r="N299" s="169"/>
      <c r="O299" s="182"/>
      <c r="P299" s="53"/>
      <c r="Q299" s="53"/>
      <c r="R299" s="101">
        <v>12.0</v>
      </c>
      <c r="S299" s="101">
        <v>12.0</v>
      </c>
      <c r="T299" s="170">
        <v>12.0</v>
      </c>
      <c r="U299" s="169"/>
      <c r="V299" s="53"/>
      <c r="W299" s="53"/>
      <c r="X299" s="53"/>
      <c r="Y299" s="53"/>
      <c r="Z299" s="53"/>
      <c r="AA299" s="170">
        <v>12.0</v>
      </c>
      <c r="AB299" s="170">
        <v>12.0</v>
      </c>
      <c r="AC299" s="101">
        <v>12.0</v>
      </c>
      <c r="AD299" s="53"/>
      <c r="AE299" s="53"/>
      <c r="AF299" s="53"/>
      <c r="AH299" s="40"/>
      <c r="AI299" s="55">
        <f t="shared" si="16"/>
        <v>108</v>
      </c>
      <c r="AJ299" s="56"/>
      <c r="AK299" s="56"/>
      <c r="AL299" s="57"/>
      <c r="AM299" s="52">
        <f t="array" ref="AM299:AP299">AI299:AL299/4</f>
        <v>27</v>
      </c>
      <c r="AN299" s="56"/>
      <c r="AO299" s="56"/>
      <c r="AP299" s="57"/>
      <c r="AQ299" s="46"/>
    </row>
    <row r="300" ht="15.75" customHeight="1">
      <c r="A300" s="58" t="s">
        <v>8</v>
      </c>
      <c r="B300" s="59" t="s">
        <v>9</v>
      </c>
      <c r="C300" s="36"/>
      <c r="D300" s="61"/>
      <c r="E300" s="172"/>
      <c r="F300" s="172"/>
      <c r="G300" s="172"/>
      <c r="H300" s="172"/>
      <c r="I300" s="100"/>
      <c r="J300" s="100">
        <v>21.0</v>
      </c>
      <c r="K300" s="100">
        <v>24.0</v>
      </c>
      <c r="L300" s="100">
        <v>24.0</v>
      </c>
      <c r="M300" s="171">
        <v>24.0</v>
      </c>
      <c r="N300" s="171">
        <v>24.0</v>
      </c>
      <c r="O300" s="110">
        <v>12.0</v>
      </c>
      <c r="P300" s="61"/>
      <c r="Q300" s="61"/>
      <c r="R300" s="61"/>
      <c r="S300" s="61"/>
      <c r="T300" s="172"/>
      <c r="U300" s="183">
        <v>17.0</v>
      </c>
      <c r="V300" s="63">
        <v>24.0</v>
      </c>
      <c r="W300" s="63">
        <v>24.0</v>
      </c>
      <c r="X300" s="63">
        <v>24.0</v>
      </c>
      <c r="Y300" s="63">
        <v>24.0</v>
      </c>
      <c r="Z300" s="110">
        <v>12.0</v>
      </c>
      <c r="AA300" s="172"/>
      <c r="AB300" s="172"/>
      <c r="AC300" s="61"/>
      <c r="AD300" s="61"/>
      <c r="AE300" s="61"/>
      <c r="AF300" s="61"/>
      <c r="AH300" s="40"/>
      <c r="AI300" s="64">
        <f t="shared" si="16"/>
        <v>254</v>
      </c>
      <c r="AJ300" s="65"/>
      <c r="AK300" s="65"/>
      <c r="AL300" s="66"/>
      <c r="AM300" s="36">
        <f t="array" ref="AM300:AP300">AI300:AL300/4</f>
        <v>63.5</v>
      </c>
      <c r="AN300" s="65"/>
      <c r="AO300" s="65"/>
      <c r="AP300" s="66"/>
      <c r="AQ300" s="46"/>
    </row>
    <row r="301" ht="15.75" customHeight="1">
      <c r="A301" s="67"/>
      <c r="B301" s="68" t="s">
        <v>18</v>
      </c>
      <c r="C301" s="52"/>
      <c r="D301" s="53"/>
      <c r="E301" s="169"/>
      <c r="F301" s="169"/>
      <c r="G301" s="169"/>
      <c r="H301" s="169"/>
      <c r="I301" s="101">
        <v>12.0</v>
      </c>
      <c r="J301" s="101">
        <v>24.0</v>
      </c>
      <c r="K301" s="101">
        <v>24.0</v>
      </c>
      <c r="L301" s="101">
        <v>24.0</v>
      </c>
      <c r="M301" s="170">
        <v>24.0</v>
      </c>
      <c r="N301" s="170">
        <v>24.0</v>
      </c>
      <c r="O301" s="111">
        <v>12.0</v>
      </c>
      <c r="P301" s="53"/>
      <c r="Q301" s="53"/>
      <c r="R301" s="53"/>
      <c r="S301" s="53"/>
      <c r="T301" s="169"/>
      <c r="U301" s="184">
        <v>17.0</v>
      </c>
      <c r="V301" s="89">
        <v>24.0</v>
      </c>
      <c r="W301" s="89">
        <v>24.0</v>
      </c>
      <c r="X301" s="89">
        <v>24.0</v>
      </c>
      <c r="Y301" s="89">
        <v>24.0</v>
      </c>
      <c r="Z301" s="111">
        <v>12.0</v>
      </c>
      <c r="AA301" s="169"/>
      <c r="AB301" s="169"/>
      <c r="AC301" s="53"/>
      <c r="AD301" s="53"/>
      <c r="AE301" s="53"/>
      <c r="AF301" s="53"/>
      <c r="AH301" s="40"/>
      <c r="AI301" s="39">
        <f t="shared" si="16"/>
        <v>269</v>
      </c>
      <c r="AJ301" s="41"/>
      <c r="AK301" s="41"/>
      <c r="AL301" s="42"/>
      <c r="AM301" s="43">
        <f t="array" ref="AM301:AP301">AI301:AL301/4</f>
        <v>67.25</v>
      </c>
      <c r="AN301" s="44"/>
      <c r="AO301" s="44"/>
      <c r="AP301" s="45"/>
      <c r="AQ301" s="46"/>
    </row>
    <row r="302" ht="15.75" customHeight="1">
      <c r="A302" s="32"/>
      <c r="B302" s="68"/>
      <c r="C302" s="52"/>
      <c r="D302" s="53"/>
      <c r="E302" s="169"/>
      <c r="F302" s="169"/>
      <c r="G302" s="169"/>
      <c r="H302" s="169"/>
      <c r="I302" s="53"/>
      <c r="J302" s="53"/>
      <c r="K302" s="53"/>
      <c r="L302" s="53"/>
      <c r="M302" s="169"/>
      <c r="N302" s="169"/>
      <c r="O302" s="158"/>
      <c r="P302" s="53"/>
      <c r="Q302" s="53"/>
      <c r="R302" s="53"/>
      <c r="S302" s="53"/>
      <c r="T302" s="169"/>
      <c r="U302" s="169"/>
      <c r="V302" s="53"/>
      <c r="W302" s="53"/>
      <c r="X302" s="53"/>
      <c r="Y302" s="53"/>
      <c r="Z302" s="53"/>
      <c r="AA302" s="169"/>
      <c r="AB302" s="169"/>
      <c r="AC302" s="53"/>
      <c r="AD302" s="53"/>
      <c r="AE302" s="53"/>
      <c r="AF302" s="53"/>
      <c r="AH302" s="40"/>
      <c r="AI302" s="55">
        <f t="shared" si="16"/>
        <v>0</v>
      </c>
      <c r="AJ302" s="56"/>
      <c r="AK302" s="56"/>
      <c r="AL302" s="57"/>
      <c r="AM302" s="40">
        <f t="array" ref="AM302:AP302">AI302:AL302/4</f>
        <v>0</v>
      </c>
      <c r="AP302" s="74"/>
      <c r="AQ302" s="46"/>
    </row>
    <row r="303" ht="15.75" customHeight="1">
      <c r="A303" s="75" t="s">
        <v>11</v>
      </c>
      <c r="B303" s="76" t="s">
        <v>12</v>
      </c>
      <c r="C303" s="36"/>
      <c r="D303" s="61"/>
      <c r="E303" s="171">
        <v>9.0</v>
      </c>
      <c r="F303" s="172"/>
      <c r="G303" s="172"/>
      <c r="H303" s="171">
        <v>12.0</v>
      </c>
      <c r="I303" s="100">
        <v>9.0</v>
      </c>
      <c r="J303" s="100">
        <v>3.0</v>
      </c>
      <c r="K303" s="61"/>
      <c r="L303" s="61"/>
      <c r="M303" s="171"/>
      <c r="N303" s="172"/>
      <c r="O303" s="154"/>
      <c r="P303" s="61"/>
      <c r="Q303" s="100"/>
      <c r="R303" s="100">
        <v>9.0</v>
      </c>
      <c r="S303" s="61"/>
      <c r="T303" s="171"/>
      <c r="U303" s="171">
        <v>7.0</v>
      </c>
      <c r="V303" s="61"/>
      <c r="W303" s="61"/>
      <c r="X303" s="61"/>
      <c r="Y303" s="61"/>
      <c r="Z303" s="61"/>
      <c r="AA303" s="171">
        <v>12.0</v>
      </c>
      <c r="AB303" s="172"/>
      <c r="AC303" s="61"/>
      <c r="AD303" s="100">
        <v>12.0</v>
      </c>
      <c r="AE303" s="100"/>
      <c r="AF303" s="61"/>
      <c r="AH303" s="40"/>
      <c r="AI303" s="64">
        <f t="shared" si="16"/>
        <v>73</v>
      </c>
      <c r="AJ303" s="65"/>
      <c r="AK303" s="65"/>
      <c r="AL303" s="66"/>
      <c r="AM303" s="36">
        <f t="array" ref="AM303:AP303">AI303:AL303/4</f>
        <v>18.25</v>
      </c>
      <c r="AN303" s="65"/>
      <c r="AO303" s="65"/>
      <c r="AP303" s="66"/>
      <c r="AQ303" s="46"/>
    </row>
    <row r="304" ht="15.75" customHeight="1">
      <c r="A304" s="47"/>
      <c r="B304" s="78" t="s">
        <v>13</v>
      </c>
      <c r="C304" s="43"/>
      <c r="D304" s="49"/>
      <c r="E304" s="166"/>
      <c r="F304" s="166"/>
      <c r="G304" s="166"/>
      <c r="H304" s="166"/>
      <c r="I304" s="49"/>
      <c r="J304" s="49"/>
      <c r="K304" s="49"/>
      <c r="L304" s="49"/>
      <c r="M304" s="166"/>
      <c r="N304" s="166"/>
      <c r="O304" s="154"/>
      <c r="P304" s="49"/>
      <c r="Q304" s="49"/>
      <c r="R304" s="49"/>
      <c r="S304" s="49"/>
      <c r="T304" s="166"/>
      <c r="U304" s="166"/>
      <c r="V304" s="49"/>
      <c r="W304" s="49"/>
      <c r="X304" s="49"/>
      <c r="Y304" s="49"/>
      <c r="Z304" s="49"/>
      <c r="AA304" s="166"/>
      <c r="AB304" s="166"/>
      <c r="AC304" s="49"/>
      <c r="AD304" s="49"/>
      <c r="AE304" s="49"/>
      <c r="AF304" s="49"/>
      <c r="AH304" s="40"/>
      <c r="AI304" s="39">
        <f t="shared" si="16"/>
        <v>0</v>
      </c>
      <c r="AJ304" s="41"/>
      <c r="AK304" s="41"/>
      <c r="AL304" s="42"/>
      <c r="AM304" s="43">
        <f t="array" ref="AM304:AP304">AI304:AL304/4</f>
        <v>0</v>
      </c>
      <c r="AN304" s="44"/>
      <c r="AO304" s="44"/>
      <c r="AP304" s="45"/>
      <c r="AQ304" s="46"/>
    </row>
    <row r="305" ht="15.75" customHeight="1">
      <c r="A305" s="47"/>
      <c r="B305" s="78" t="s">
        <v>14</v>
      </c>
      <c r="C305" s="43"/>
      <c r="D305" s="49"/>
      <c r="E305" s="166"/>
      <c r="F305" s="166"/>
      <c r="G305" s="166"/>
      <c r="H305" s="166"/>
      <c r="I305" s="49"/>
      <c r="J305" s="49"/>
      <c r="K305" s="49"/>
      <c r="L305" s="49"/>
      <c r="M305" s="166"/>
      <c r="O305" s="154"/>
      <c r="P305" s="49"/>
      <c r="Q305" s="49"/>
      <c r="R305" s="49"/>
      <c r="S305" s="49"/>
      <c r="T305" s="166"/>
      <c r="U305" s="166"/>
      <c r="V305" s="49"/>
      <c r="W305" s="49"/>
      <c r="X305" s="49"/>
      <c r="Y305" s="49"/>
      <c r="Z305" s="49"/>
      <c r="AA305" s="166"/>
      <c r="AB305" s="166"/>
      <c r="AC305" s="49"/>
      <c r="AD305" s="49"/>
      <c r="AE305" s="49"/>
      <c r="AF305" s="49"/>
      <c r="AH305" s="40"/>
      <c r="AI305" s="39">
        <f t="shared" si="16"/>
        <v>0</v>
      </c>
      <c r="AJ305" s="41"/>
      <c r="AK305" s="41"/>
      <c r="AL305" s="42"/>
      <c r="AM305" s="43">
        <f t="array" ref="AM305:AP305">AI305:AL305/4</f>
        <v>0</v>
      </c>
      <c r="AN305" s="44"/>
      <c r="AO305" s="44"/>
      <c r="AP305" s="45"/>
      <c r="AQ305" s="46"/>
    </row>
    <row r="306" ht="15.75" customHeight="1">
      <c r="A306" s="47"/>
      <c r="B306" s="78"/>
      <c r="C306" s="43"/>
      <c r="D306" s="49"/>
      <c r="E306" s="166"/>
      <c r="F306" s="166"/>
      <c r="G306" s="166"/>
      <c r="H306" s="166"/>
      <c r="I306" s="49"/>
      <c r="J306" s="49"/>
      <c r="K306" s="49"/>
      <c r="L306" s="49"/>
      <c r="M306" s="166"/>
      <c r="N306" s="166"/>
      <c r="O306" s="154"/>
      <c r="P306" s="49"/>
      <c r="Q306" s="49"/>
      <c r="R306" s="49"/>
      <c r="S306" s="49"/>
      <c r="T306" s="166"/>
      <c r="U306" s="166"/>
      <c r="V306" s="49"/>
      <c r="W306" s="49"/>
      <c r="X306" s="49"/>
      <c r="Y306" s="49"/>
      <c r="Z306" s="49"/>
      <c r="AA306" s="166"/>
      <c r="AB306" s="166"/>
      <c r="AC306" s="49"/>
      <c r="AD306" s="49"/>
      <c r="AE306" s="49"/>
      <c r="AF306" s="94"/>
      <c r="AH306" s="40"/>
      <c r="AI306" s="39">
        <f t="shared" si="16"/>
        <v>0</v>
      </c>
      <c r="AJ306" s="41"/>
      <c r="AK306" s="41"/>
      <c r="AL306" s="42"/>
      <c r="AM306" s="43">
        <f t="array" ref="AM306:AP306">AI306:AL306/4</f>
        <v>0</v>
      </c>
      <c r="AN306" s="44"/>
      <c r="AO306" s="44"/>
      <c r="AP306" s="45"/>
      <c r="AQ306" s="46"/>
    </row>
    <row r="307" ht="15.75" customHeight="1">
      <c r="A307" s="47"/>
      <c r="B307" s="185" t="s">
        <v>40</v>
      </c>
      <c r="C307" s="43"/>
      <c r="D307" s="99">
        <v>12.0</v>
      </c>
      <c r="E307" s="166"/>
      <c r="F307" s="166"/>
      <c r="G307" s="166"/>
      <c r="H307" s="178">
        <v>12.0</v>
      </c>
      <c r="I307" s="49"/>
      <c r="J307" s="49"/>
      <c r="K307" s="49"/>
      <c r="L307" s="49"/>
      <c r="M307" s="166"/>
      <c r="N307" s="166"/>
      <c r="O307" s="154"/>
      <c r="P307" s="49"/>
      <c r="Q307" s="49"/>
      <c r="R307" s="49"/>
      <c r="S307" s="49"/>
      <c r="T307" s="166"/>
      <c r="U307" s="166"/>
      <c r="V307" s="49"/>
      <c r="W307" s="49"/>
      <c r="X307" s="49"/>
      <c r="Y307" s="49"/>
      <c r="Z307" s="49"/>
      <c r="AA307" s="166"/>
      <c r="AB307" s="166"/>
      <c r="AC307" s="49"/>
      <c r="AD307" s="99">
        <v>12.0</v>
      </c>
      <c r="AE307" s="49"/>
      <c r="AF307" s="94"/>
      <c r="AH307" s="40"/>
      <c r="AI307" s="39">
        <f t="shared" si="16"/>
        <v>36</v>
      </c>
      <c r="AJ307" s="41"/>
      <c r="AK307" s="41"/>
      <c r="AL307" s="42"/>
      <c r="AM307" s="43">
        <f t="array" ref="AM307:AP307">AI307:AL307/4</f>
        <v>9</v>
      </c>
      <c r="AN307" s="44"/>
      <c r="AO307" s="44"/>
      <c r="AP307" s="45"/>
      <c r="AQ307" s="46"/>
    </row>
    <row r="308" ht="15.75" customHeight="1">
      <c r="A308" s="30"/>
      <c r="B308" s="79" t="s">
        <v>15</v>
      </c>
      <c r="C308" s="112">
        <v>9.0</v>
      </c>
      <c r="D308" s="103"/>
      <c r="E308" s="186">
        <v>9.0</v>
      </c>
      <c r="F308" s="186">
        <v>9.0</v>
      </c>
      <c r="G308" s="186">
        <v>9.0</v>
      </c>
      <c r="H308" s="186">
        <v>9.0</v>
      </c>
      <c r="I308" s="80"/>
      <c r="J308" s="80"/>
      <c r="K308" s="80"/>
      <c r="L308" s="80"/>
      <c r="M308" s="173"/>
      <c r="N308" s="173"/>
      <c r="O308" s="158"/>
      <c r="P308" s="103">
        <v>9.0</v>
      </c>
      <c r="Q308" s="103">
        <v>9.0</v>
      </c>
      <c r="R308" s="80"/>
      <c r="S308" s="80"/>
      <c r="T308" s="186">
        <v>9.0</v>
      </c>
      <c r="U308" s="186">
        <v>7.0</v>
      </c>
      <c r="V308" s="80"/>
      <c r="W308" s="80"/>
      <c r="X308" s="80"/>
      <c r="Y308" s="80"/>
      <c r="Z308" s="80"/>
      <c r="AA308" s="186">
        <v>9.0</v>
      </c>
      <c r="AB308" s="186">
        <v>9.0</v>
      </c>
      <c r="AC308" s="103">
        <v>9.0</v>
      </c>
      <c r="AD308" s="103">
        <v>9.0</v>
      </c>
      <c r="AE308" s="103">
        <v>9.0</v>
      </c>
      <c r="AF308" s="80"/>
      <c r="AG308" s="41"/>
      <c r="AH308" s="40">
        <f>Sum(AI292:AL308)</f>
        <v>1401</v>
      </c>
      <c r="AI308" s="55">
        <f t="shared" si="16"/>
        <v>124</v>
      </c>
      <c r="AJ308" s="56"/>
      <c r="AK308" s="56"/>
      <c r="AL308" s="57"/>
      <c r="AM308" s="43">
        <f t="array" ref="AM308:AP308">AI308:AL308/4</f>
        <v>31</v>
      </c>
      <c r="AN308" s="44"/>
      <c r="AO308" s="44"/>
      <c r="AP308" s="45"/>
      <c r="AQ308" s="46"/>
    </row>
    <row r="309" ht="15.75" customHeight="1">
      <c r="A309" s="4" t="s">
        <v>22</v>
      </c>
      <c r="B309" s="5"/>
      <c r="C309" s="6">
        <v>1.0</v>
      </c>
      <c r="D309" s="13">
        <v>2.0</v>
      </c>
      <c r="E309" s="14">
        <v>3.0</v>
      </c>
      <c r="F309" s="9">
        <v>4.0</v>
      </c>
      <c r="G309" s="9">
        <v>5.0</v>
      </c>
      <c r="H309" s="10">
        <v>6.0</v>
      </c>
      <c r="I309" s="11">
        <v>7.0</v>
      </c>
      <c r="J309" s="12">
        <v>8.0</v>
      </c>
      <c r="K309" s="13">
        <v>9.0</v>
      </c>
      <c r="L309" s="14">
        <v>10.0</v>
      </c>
      <c r="M309" s="9">
        <v>11.0</v>
      </c>
      <c r="N309" s="9">
        <v>12.0</v>
      </c>
      <c r="O309" s="10">
        <v>13.0</v>
      </c>
      <c r="P309" s="11">
        <v>14.0</v>
      </c>
      <c r="Q309" s="12">
        <v>15.0</v>
      </c>
      <c r="R309" s="11">
        <v>16.0</v>
      </c>
      <c r="S309" s="9">
        <v>17.0</v>
      </c>
      <c r="T309" s="9">
        <v>18.0</v>
      </c>
      <c r="U309" s="9">
        <v>19.0</v>
      </c>
      <c r="V309" s="15">
        <v>20.0</v>
      </c>
      <c r="W309" s="16">
        <v>21.0</v>
      </c>
      <c r="X309" s="17">
        <v>22.0</v>
      </c>
      <c r="Y309" s="7">
        <v>23.0</v>
      </c>
      <c r="Z309" s="8">
        <v>24.0</v>
      </c>
      <c r="AA309" s="8">
        <v>25.0</v>
      </c>
      <c r="AB309" s="8">
        <v>26.0</v>
      </c>
      <c r="AC309" s="15">
        <v>27.0</v>
      </c>
      <c r="AD309" s="16">
        <v>28.0</v>
      </c>
      <c r="AE309" s="10">
        <v>29.0</v>
      </c>
      <c r="AF309" s="16">
        <v>30.0</v>
      </c>
      <c r="AG309" s="97">
        <v>31.0</v>
      </c>
      <c r="AH309" s="21"/>
      <c r="AI309" s="22" t="s">
        <v>1</v>
      </c>
      <c r="AJ309" s="5"/>
      <c r="AK309" s="5"/>
      <c r="AL309" s="5"/>
      <c r="AM309" s="22" t="s">
        <v>2</v>
      </c>
      <c r="AN309" s="5"/>
      <c r="AO309" s="5"/>
      <c r="AP309" s="23"/>
      <c r="AQ309" s="46"/>
    </row>
    <row r="310" ht="15.75" customHeight="1">
      <c r="A310" s="25"/>
      <c r="B310" s="2"/>
      <c r="C310" s="26"/>
      <c r="D310" s="27"/>
      <c r="E310" s="28"/>
      <c r="F310" s="28"/>
      <c r="G310" s="28"/>
      <c r="H310" s="29"/>
      <c r="I310" s="30"/>
      <c r="J310" s="31"/>
      <c r="K310" s="27"/>
      <c r="L310" s="28"/>
      <c r="M310" s="28"/>
      <c r="N310" s="28"/>
      <c r="O310" s="29"/>
      <c r="P310" s="30"/>
      <c r="Q310" s="31"/>
      <c r="R310" s="30"/>
      <c r="S310" s="28"/>
      <c r="T310" s="28"/>
      <c r="U310" s="28"/>
      <c r="V310" s="29"/>
      <c r="W310" s="30"/>
      <c r="X310" s="31"/>
      <c r="Y310" s="27"/>
      <c r="Z310" s="28"/>
      <c r="AA310" s="28"/>
      <c r="AB310" s="28"/>
      <c r="AC310" s="29"/>
      <c r="AD310" s="30"/>
      <c r="AE310" s="29"/>
      <c r="AF310" s="30"/>
      <c r="AG310" s="98"/>
      <c r="AH310" s="21"/>
      <c r="AI310" s="25"/>
      <c r="AJ310" s="2"/>
      <c r="AK310" s="2"/>
      <c r="AL310" s="2"/>
      <c r="AM310" s="25"/>
      <c r="AN310" s="2"/>
      <c r="AO310" s="2"/>
      <c r="AP310" s="33"/>
      <c r="AQ310" s="46"/>
    </row>
    <row r="311" ht="15.75" customHeight="1">
      <c r="A311" s="175" t="s">
        <v>3</v>
      </c>
      <c r="B311" s="35" t="s">
        <v>4</v>
      </c>
      <c r="C311" s="102">
        <v>12.0</v>
      </c>
      <c r="D311" s="162"/>
      <c r="E311" s="176">
        <v>12.0</v>
      </c>
      <c r="F311" s="176">
        <v>12.0</v>
      </c>
      <c r="G311" s="106">
        <v>7.0</v>
      </c>
      <c r="H311" s="37"/>
      <c r="I311" s="49"/>
      <c r="J311" s="49"/>
      <c r="K311" s="178">
        <v>12.0</v>
      </c>
      <c r="L311" s="178">
        <v>12.0</v>
      </c>
      <c r="M311" s="99">
        <v>12.0</v>
      </c>
      <c r="N311" s="99"/>
      <c r="O311" s="99">
        <v>12.0</v>
      </c>
      <c r="P311" s="99">
        <v>12.0</v>
      </c>
      <c r="Q311" s="99">
        <v>12.0</v>
      </c>
      <c r="R311" s="166"/>
      <c r="S311" s="166"/>
      <c r="T311" s="49"/>
      <c r="U311" s="49"/>
      <c r="V311" s="49"/>
      <c r="W311" s="49"/>
      <c r="X311" s="49"/>
      <c r="Y311" s="166"/>
      <c r="Z311" s="166"/>
      <c r="AA311" s="166"/>
      <c r="AB311" s="49"/>
      <c r="AC311" s="49"/>
      <c r="AD311" s="37"/>
      <c r="AE311" s="106">
        <v>12.0</v>
      </c>
      <c r="AF311" s="176">
        <v>12.0</v>
      </c>
      <c r="AG311" s="187">
        <v>12.0</v>
      </c>
      <c r="AH311" s="40"/>
      <c r="AI311" s="39">
        <f t="shared" ref="AI311:AI327" si="17">SUM(C311:AG311)</f>
        <v>151</v>
      </c>
      <c r="AJ311" s="41"/>
      <c r="AK311" s="41"/>
      <c r="AL311" s="42"/>
      <c r="AM311" s="43">
        <f t="array" ref="AM311:AP311">AI311:AL311/4</f>
        <v>37.75</v>
      </c>
      <c r="AN311" s="44"/>
      <c r="AO311" s="44"/>
      <c r="AP311" s="45"/>
      <c r="AQ311" s="46"/>
    </row>
    <row r="312" ht="15.75" customHeight="1">
      <c r="A312" s="47"/>
      <c r="B312" s="114" t="s">
        <v>37</v>
      </c>
      <c r="C312" s="43"/>
      <c r="D312" s="166"/>
      <c r="E312" s="166"/>
      <c r="F312" s="166"/>
      <c r="G312" s="99">
        <v>7.0</v>
      </c>
      <c r="H312" s="49"/>
      <c r="I312" s="49"/>
      <c r="J312" s="49"/>
      <c r="K312" s="166"/>
      <c r="L312" s="184"/>
      <c r="M312" s="89"/>
      <c r="N312" s="111">
        <v>9.0</v>
      </c>
      <c r="O312" s="111">
        <v>12.0</v>
      </c>
      <c r="P312" s="89"/>
      <c r="Q312" s="88"/>
      <c r="R312" s="168"/>
      <c r="S312" s="168"/>
      <c r="T312" s="89"/>
      <c r="U312" s="96"/>
      <c r="V312" s="89"/>
      <c r="W312" s="89"/>
      <c r="X312" s="49"/>
      <c r="Y312" s="166"/>
      <c r="Z312" s="166"/>
      <c r="AA312" s="166"/>
      <c r="AB312" s="49"/>
      <c r="AC312" s="49"/>
      <c r="AD312" s="49"/>
      <c r="AE312" s="49"/>
      <c r="AF312" s="166"/>
      <c r="AG312" s="188"/>
      <c r="AH312" s="40"/>
      <c r="AI312" s="39">
        <f t="shared" si="17"/>
        <v>28</v>
      </c>
      <c r="AJ312" s="41"/>
      <c r="AK312" s="41"/>
      <c r="AL312" s="42"/>
      <c r="AM312" s="43">
        <f t="array" ref="AM312:AP312">AI312:AL312/4</f>
        <v>7</v>
      </c>
      <c r="AN312" s="44"/>
      <c r="AO312" s="44"/>
      <c r="AP312" s="45"/>
      <c r="AQ312" s="46"/>
    </row>
    <row r="313" ht="15.75" customHeight="1">
      <c r="A313" s="47"/>
      <c r="B313" s="48" t="s">
        <v>5</v>
      </c>
      <c r="C313" s="86"/>
      <c r="D313" s="167"/>
      <c r="E313" s="167"/>
      <c r="F313" s="167"/>
      <c r="G313" s="89"/>
      <c r="H313" s="89"/>
      <c r="I313" s="88"/>
      <c r="J313" s="49"/>
      <c r="K313" s="189"/>
      <c r="L313" s="167"/>
      <c r="M313" s="87"/>
      <c r="N313" s="87"/>
      <c r="O313" s="89"/>
      <c r="P313" s="89"/>
      <c r="Q313" s="88"/>
      <c r="R313" s="168"/>
      <c r="S313" s="168"/>
      <c r="T313" s="89"/>
      <c r="U313" s="96"/>
      <c r="V313" s="89"/>
      <c r="W313" s="89"/>
      <c r="X313" s="49"/>
      <c r="Y313" s="166"/>
      <c r="Z313" s="166"/>
      <c r="AA313" s="166"/>
      <c r="AB313" s="49"/>
      <c r="AC313" s="49"/>
      <c r="AD313" s="49"/>
      <c r="AE313" s="49"/>
      <c r="AF313" s="190"/>
      <c r="AG313" s="188"/>
      <c r="AH313" s="40"/>
      <c r="AI313" s="39">
        <f t="shared" si="17"/>
        <v>0</v>
      </c>
      <c r="AJ313" s="41"/>
      <c r="AK313" s="41"/>
      <c r="AL313" s="42"/>
      <c r="AM313" s="43">
        <f t="array" ref="AM313:AP313">AI313:AL313/4</f>
        <v>0</v>
      </c>
      <c r="AN313" s="44"/>
      <c r="AO313" s="44"/>
      <c r="AP313" s="45"/>
      <c r="AQ313" s="46"/>
    </row>
    <row r="314" ht="15.75" customHeight="1">
      <c r="A314" s="47"/>
      <c r="B314" s="114"/>
      <c r="C314" s="88"/>
      <c r="D314" s="168"/>
      <c r="E314" s="168"/>
      <c r="F314" s="168"/>
      <c r="G314" s="87"/>
      <c r="H314" s="87"/>
      <c r="I314" s="86"/>
      <c r="J314" s="49"/>
      <c r="K314" s="184"/>
      <c r="L314" s="168"/>
      <c r="M314" s="89"/>
      <c r="N314" s="89"/>
      <c r="O314" s="87"/>
      <c r="P314" s="87"/>
      <c r="Q314" s="86"/>
      <c r="R314" s="167"/>
      <c r="S314" s="167"/>
      <c r="T314" s="87"/>
      <c r="U314" s="87"/>
      <c r="V314" s="87"/>
      <c r="W314" s="87"/>
      <c r="X314" s="49"/>
      <c r="Y314" s="166"/>
      <c r="Z314" s="166"/>
      <c r="AA314" s="166"/>
      <c r="AB314" s="49"/>
      <c r="AC314" s="49"/>
      <c r="AD314" s="99"/>
      <c r="AE314" s="99"/>
      <c r="AF314" s="178"/>
      <c r="AG314" s="188"/>
      <c r="AH314" s="40"/>
      <c r="AI314" s="39">
        <f t="shared" si="17"/>
        <v>0</v>
      </c>
      <c r="AJ314" s="41"/>
      <c r="AK314" s="41"/>
      <c r="AL314" s="42"/>
      <c r="AM314" s="43">
        <f t="array" ref="AM314:AP314">AI314:AL314/4</f>
        <v>0</v>
      </c>
      <c r="AN314" s="44"/>
      <c r="AO314" s="44"/>
      <c r="AP314" s="45"/>
      <c r="AQ314" s="46"/>
    </row>
    <row r="315" ht="15.75" customHeight="1">
      <c r="A315" s="47"/>
      <c r="B315" s="48"/>
      <c r="C315" s="52"/>
      <c r="D315" s="169"/>
      <c r="E315" s="169"/>
      <c r="F315" s="169"/>
      <c r="G315" s="53"/>
      <c r="H315" s="53"/>
      <c r="I315" s="53"/>
      <c r="J315" s="53"/>
      <c r="K315" s="169"/>
      <c r="L315" s="169"/>
      <c r="M315" s="53"/>
      <c r="N315" s="53"/>
      <c r="O315" s="53"/>
      <c r="P315" s="53"/>
      <c r="Q315" s="53"/>
      <c r="R315" s="169"/>
      <c r="S315" s="169"/>
      <c r="T315" s="53"/>
      <c r="U315" s="53"/>
      <c r="V315" s="53"/>
      <c r="W315" s="53"/>
      <c r="X315" s="53"/>
      <c r="Y315" s="169"/>
      <c r="Z315" s="169"/>
      <c r="AA315" s="169"/>
      <c r="AB315" s="53"/>
      <c r="AC315" s="54"/>
      <c r="AD315" s="53"/>
      <c r="AE315" s="53"/>
      <c r="AF315" s="169"/>
      <c r="AG315" s="191"/>
      <c r="AH315" s="40"/>
      <c r="AI315" s="39">
        <f t="shared" si="17"/>
        <v>0</v>
      </c>
      <c r="AJ315" s="41"/>
      <c r="AK315" s="41"/>
      <c r="AL315" s="42"/>
      <c r="AM315" s="43">
        <f t="array" ref="AM315:AP315">AI315:AL315/4</f>
        <v>0</v>
      </c>
      <c r="AN315" s="44"/>
      <c r="AO315" s="44"/>
      <c r="AP315" s="45"/>
      <c r="AQ315" s="46"/>
    </row>
    <row r="316" ht="15.75" customHeight="1">
      <c r="A316" s="47"/>
      <c r="B316" s="114" t="s">
        <v>13</v>
      </c>
      <c r="C316" s="52"/>
      <c r="D316" s="169"/>
      <c r="E316" s="169"/>
      <c r="F316" s="169"/>
      <c r="G316" s="53"/>
      <c r="H316" s="53"/>
      <c r="I316" s="53"/>
      <c r="J316" s="53"/>
      <c r="K316" s="169"/>
      <c r="L316" s="169"/>
      <c r="M316" s="53"/>
      <c r="N316" s="53"/>
      <c r="O316" s="53"/>
      <c r="P316" s="53"/>
      <c r="Q316" s="53"/>
      <c r="R316" s="169"/>
      <c r="S316" s="169"/>
      <c r="T316" s="53"/>
      <c r="U316" s="53"/>
      <c r="V316" s="53"/>
      <c r="W316" s="53"/>
      <c r="X316" s="53"/>
      <c r="Y316" s="169"/>
      <c r="Z316" s="169"/>
      <c r="AA316" s="169"/>
      <c r="AB316" s="53"/>
      <c r="AC316" s="53"/>
      <c r="AD316" s="53"/>
      <c r="AE316" s="53"/>
      <c r="AF316" s="169"/>
      <c r="AG316" s="191"/>
      <c r="AH316" s="40"/>
      <c r="AI316" s="39">
        <f t="shared" si="17"/>
        <v>0</v>
      </c>
      <c r="AJ316" s="41"/>
      <c r="AK316" s="41"/>
      <c r="AL316" s="42"/>
      <c r="AM316" s="43">
        <f t="array" ref="AM316:AP316">AI316:AL316/4</f>
        <v>0</v>
      </c>
      <c r="AN316" s="44"/>
      <c r="AO316" s="44"/>
      <c r="AP316" s="45"/>
      <c r="AQ316" s="46"/>
    </row>
    <row r="317" ht="15.75" customHeight="1">
      <c r="A317" s="47"/>
      <c r="B317" s="114" t="s">
        <v>25</v>
      </c>
      <c r="C317" s="52"/>
      <c r="D317" s="169"/>
      <c r="E317" s="169"/>
      <c r="F317" s="169"/>
      <c r="G317" s="53"/>
      <c r="H317" s="53"/>
      <c r="I317" s="53"/>
      <c r="J317" s="53"/>
      <c r="K317" s="169"/>
      <c r="L317" s="169"/>
      <c r="M317" s="53"/>
      <c r="N317" s="53"/>
      <c r="O317" s="53"/>
      <c r="P317" s="53"/>
      <c r="Q317" s="53"/>
      <c r="R317" s="169"/>
      <c r="S317" s="169"/>
      <c r="T317" s="53"/>
      <c r="U317" s="53"/>
      <c r="V317" s="53"/>
      <c r="W317" s="53"/>
      <c r="X317" s="53"/>
      <c r="Y317" s="169"/>
      <c r="Z317" s="169"/>
      <c r="AA317" s="169"/>
      <c r="AB317" s="53"/>
      <c r="AC317" s="53"/>
      <c r="AD317" s="53"/>
      <c r="AE317" s="53"/>
      <c r="AF317" s="169"/>
      <c r="AG317" s="191"/>
      <c r="AH317" s="40"/>
      <c r="AI317" s="39">
        <f t="shared" si="17"/>
        <v>0</v>
      </c>
      <c r="AJ317" s="41"/>
      <c r="AK317" s="41"/>
      <c r="AL317" s="42"/>
      <c r="AM317" s="43">
        <f t="array" ref="AM317:AP317">AI317:AL317/4</f>
        <v>0</v>
      </c>
      <c r="AN317" s="44"/>
      <c r="AO317" s="44"/>
      <c r="AP317" s="45"/>
      <c r="AQ317" s="46"/>
    </row>
    <row r="318" ht="15.75" customHeight="1">
      <c r="A318" s="30"/>
      <c r="B318" s="48"/>
      <c r="C318" s="52"/>
      <c r="D318" s="169"/>
      <c r="E318" s="169"/>
      <c r="F318" s="169"/>
      <c r="G318" s="53"/>
      <c r="H318" s="53"/>
      <c r="I318" s="53"/>
      <c r="J318" s="53"/>
      <c r="K318" s="169"/>
      <c r="L318" s="169"/>
      <c r="M318" s="53"/>
      <c r="N318" s="53"/>
      <c r="O318" s="53"/>
      <c r="P318" s="53"/>
      <c r="Q318" s="53"/>
      <c r="R318" s="169"/>
      <c r="S318" s="169"/>
      <c r="T318" s="53"/>
      <c r="U318" s="53"/>
      <c r="V318" s="53"/>
      <c r="W318" s="53"/>
      <c r="X318" s="53"/>
      <c r="Y318" s="169"/>
      <c r="Z318" s="169"/>
      <c r="AA318" s="169"/>
      <c r="AB318" s="53"/>
      <c r="AC318" s="53"/>
      <c r="AD318" s="53"/>
      <c r="AE318" s="53"/>
      <c r="AF318" s="169"/>
      <c r="AG318" s="191"/>
      <c r="AH318" s="40"/>
      <c r="AI318" s="55">
        <f t="shared" si="17"/>
        <v>0</v>
      </c>
      <c r="AJ318" s="56"/>
      <c r="AK318" s="56"/>
      <c r="AL318" s="57"/>
      <c r="AM318" s="52">
        <f t="array" ref="AM318:AP318">AI318:AL318/4</f>
        <v>0</v>
      </c>
      <c r="AN318" s="56"/>
      <c r="AO318" s="56"/>
      <c r="AP318" s="57"/>
      <c r="AQ318" s="46"/>
    </row>
    <row r="319" ht="15.75" customHeight="1">
      <c r="A319" s="58" t="s">
        <v>8</v>
      </c>
      <c r="B319" s="48"/>
      <c r="C319" s="36"/>
      <c r="D319" s="172"/>
      <c r="E319" s="172"/>
      <c r="F319" s="172"/>
      <c r="G319" s="100">
        <v>17.0</v>
      </c>
      <c r="H319" s="100">
        <v>24.0</v>
      </c>
      <c r="I319" s="100">
        <v>24.0</v>
      </c>
      <c r="J319" s="100">
        <v>12.0</v>
      </c>
      <c r="K319" s="172"/>
      <c r="L319" s="172"/>
      <c r="M319" s="61"/>
      <c r="N319" s="61"/>
      <c r="O319" s="61"/>
      <c r="P319" s="61"/>
      <c r="Q319" s="61"/>
      <c r="R319" s="171">
        <v>24.0</v>
      </c>
      <c r="S319" s="171">
        <v>24.0</v>
      </c>
      <c r="T319" s="63">
        <v>24.0</v>
      </c>
      <c r="U319" s="63">
        <v>24.0</v>
      </c>
      <c r="V319" s="63">
        <v>24.0</v>
      </c>
      <c r="W319" s="63">
        <v>24.0</v>
      </c>
      <c r="X319" s="110">
        <v>12.0</v>
      </c>
      <c r="Y319" s="171">
        <v>24.0</v>
      </c>
      <c r="Z319" s="171">
        <v>24.0</v>
      </c>
      <c r="AA319" s="192">
        <v>24.0</v>
      </c>
      <c r="AB319" s="63">
        <v>24.0</v>
      </c>
      <c r="AC319" s="110">
        <v>12.0</v>
      </c>
      <c r="AD319" s="63"/>
      <c r="AE319" s="110"/>
      <c r="AF319" s="172"/>
      <c r="AG319" s="193"/>
      <c r="AH319" s="40"/>
      <c r="AI319" s="64">
        <f t="shared" si="17"/>
        <v>341</v>
      </c>
      <c r="AJ319" s="65"/>
      <c r="AK319" s="65"/>
      <c r="AL319" s="66"/>
      <c r="AM319" s="36">
        <f t="array" ref="AM319:AP319">AI319:AL319/4</f>
        <v>85.25</v>
      </c>
      <c r="AN319" s="65"/>
      <c r="AO319" s="65"/>
      <c r="AP319" s="66"/>
      <c r="AQ319" s="46"/>
    </row>
    <row r="320" ht="15.75" customHeight="1">
      <c r="A320" s="67"/>
      <c r="B320" s="68" t="s">
        <v>18</v>
      </c>
      <c r="C320" s="52"/>
      <c r="D320" s="169"/>
      <c r="E320" s="169"/>
      <c r="F320" s="169"/>
      <c r="G320" s="101">
        <v>17.0</v>
      </c>
      <c r="H320" s="101">
        <v>24.0</v>
      </c>
      <c r="I320" s="101">
        <v>24.0</v>
      </c>
      <c r="J320" s="101">
        <v>12.0</v>
      </c>
      <c r="K320" s="169"/>
      <c r="L320" s="169"/>
      <c r="M320" s="53"/>
      <c r="N320" s="53"/>
      <c r="O320" s="53"/>
      <c r="P320" s="53"/>
      <c r="Q320" s="53"/>
      <c r="R320" s="169"/>
      <c r="S320" s="170"/>
      <c r="T320" s="53"/>
      <c r="U320" s="53"/>
      <c r="V320" s="194"/>
      <c r="W320" s="194"/>
      <c r="X320" s="194"/>
      <c r="Y320" s="169"/>
      <c r="Z320" s="169"/>
      <c r="AA320" s="169"/>
      <c r="AB320" s="194"/>
      <c r="AC320" s="194"/>
      <c r="AD320" s="194"/>
      <c r="AE320" s="194"/>
      <c r="AF320" s="169"/>
      <c r="AG320" s="191"/>
      <c r="AH320" s="40"/>
      <c r="AI320" s="39">
        <f t="shared" si="17"/>
        <v>77</v>
      </c>
      <c r="AJ320" s="41"/>
      <c r="AK320" s="41"/>
      <c r="AL320" s="42"/>
      <c r="AM320" s="43">
        <f t="array" ref="AM320:AP320">AI320:AL320/4</f>
        <v>19.25</v>
      </c>
      <c r="AN320" s="44"/>
      <c r="AO320" s="44"/>
      <c r="AP320" s="45"/>
      <c r="AQ320" s="46"/>
    </row>
    <row r="321" ht="15.75" customHeight="1">
      <c r="A321" s="32"/>
      <c r="B321" s="68"/>
      <c r="C321" s="52"/>
      <c r="D321" s="169"/>
      <c r="E321" s="169"/>
      <c r="F321" s="169"/>
      <c r="G321" s="53"/>
      <c r="H321" s="53"/>
      <c r="I321" s="53"/>
      <c r="J321" s="53"/>
      <c r="K321" s="169"/>
      <c r="L321" s="169"/>
      <c r="M321" s="53"/>
      <c r="N321" s="53"/>
      <c r="O321" s="53"/>
      <c r="P321" s="53"/>
      <c r="Q321" s="53"/>
      <c r="R321" s="169"/>
      <c r="S321" s="169"/>
      <c r="T321" s="53"/>
      <c r="U321" s="53"/>
      <c r="V321" s="53"/>
      <c r="W321" s="53"/>
      <c r="X321" s="53"/>
      <c r="Y321" s="169"/>
      <c r="Z321" s="169"/>
      <c r="AA321" s="169"/>
      <c r="AB321" s="53"/>
      <c r="AC321" s="53"/>
      <c r="AD321" s="53"/>
      <c r="AE321" s="53"/>
      <c r="AF321" s="169"/>
      <c r="AG321" s="191"/>
      <c r="AH321" s="40"/>
      <c r="AI321" s="55">
        <f t="shared" si="17"/>
        <v>0</v>
      </c>
      <c r="AJ321" s="56"/>
      <c r="AK321" s="56"/>
      <c r="AL321" s="57"/>
      <c r="AM321" s="40">
        <f t="array" ref="AM321:AP321">AI321:AL321/4</f>
        <v>0</v>
      </c>
      <c r="AP321" s="74"/>
      <c r="AQ321" s="46"/>
    </row>
    <row r="322" ht="15.75" customHeight="1">
      <c r="A322" s="75" t="s">
        <v>11</v>
      </c>
      <c r="B322" s="76" t="s">
        <v>12</v>
      </c>
      <c r="C322" s="102"/>
      <c r="D322" s="172"/>
      <c r="E322" s="172"/>
      <c r="F322" s="172"/>
      <c r="G322" s="61"/>
      <c r="H322" s="61"/>
      <c r="I322" s="61"/>
      <c r="J322" s="61"/>
      <c r="K322" s="171">
        <v>12.0</v>
      </c>
      <c r="L322" s="171"/>
      <c r="M322" s="61"/>
      <c r="N322" s="100"/>
      <c r="O322" s="100">
        <v>9.0</v>
      </c>
      <c r="P322" s="61"/>
      <c r="Q322" s="61"/>
      <c r="R322" s="172"/>
      <c r="S322" s="172"/>
      <c r="T322" s="61"/>
      <c r="U322" s="61"/>
      <c r="V322" s="61"/>
      <c r="W322" s="61"/>
      <c r="X322" s="61"/>
      <c r="Y322" s="172"/>
      <c r="Z322" s="172"/>
      <c r="AA322" s="172"/>
      <c r="AB322" s="61"/>
      <c r="AC322" s="61"/>
      <c r="AD322" s="100">
        <v>12.0</v>
      </c>
      <c r="AE322" s="61"/>
      <c r="AF322" s="172"/>
      <c r="AG322" s="193"/>
      <c r="AH322" s="40"/>
      <c r="AI322" s="64">
        <f t="shared" si="17"/>
        <v>33</v>
      </c>
      <c r="AJ322" s="65"/>
      <c r="AK322" s="65"/>
      <c r="AL322" s="66"/>
      <c r="AM322" s="36">
        <f t="array" ref="AM322:AP322">AI322:AL322/4</f>
        <v>8.25</v>
      </c>
      <c r="AN322" s="65"/>
      <c r="AO322" s="65"/>
      <c r="AP322" s="66"/>
      <c r="AQ322" s="46"/>
    </row>
    <row r="323" ht="15.75" customHeight="1">
      <c r="A323" s="47"/>
      <c r="B323" s="78" t="s">
        <v>13</v>
      </c>
      <c r="C323" s="43"/>
      <c r="D323" s="166"/>
      <c r="E323" s="166"/>
      <c r="F323" s="166"/>
      <c r="G323" s="49"/>
      <c r="H323" s="49"/>
      <c r="I323" s="49"/>
      <c r="J323" s="49"/>
      <c r="K323" s="166"/>
      <c r="L323" s="166"/>
      <c r="M323" s="49"/>
      <c r="N323" s="49"/>
      <c r="O323" s="49"/>
      <c r="P323" s="49"/>
      <c r="Q323" s="49"/>
      <c r="R323" s="171">
        <v>24.0</v>
      </c>
      <c r="S323" s="171">
        <v>24.0</v>
      </c>
      <c r="T323" s="63">
        <v>24.0</v>
      </c>
      <c r="U323" s="63">
        <v>24.0</v>
      </c>
      <c r="V323" s="63">
        <v>24.0</v>
      </c>
      <c r="W323" s="63">
        <v>24.0</v>
      </c>
      <c r="X323" s="110">
        <v>12.0</v>
      </c>
      <c r="Y323" s="171">
        <v>24.0</v>
      </c>
      <c r="Z323" s="171">
        <v>24.0</v>
      </c>
      <c r="AA323" s="192">
        <v>24.0</v>
      </c>
      <c r="AB323" s="63">
        <v>24.0</v>
      </c>
      <c r="AC323" s="110">
        <v>12.0</v>
      </c>
      <c r="AD323" s="49"/>
      <c r="AE323" s="49"/>
      <c r="AF323" s="166"/>
      <c r="AG323" s="188"/>
      <c r="AH323" s="40"/>
      <c r="AI323" s="39">
        <f t="shared" si="17"/>
        <v>264</v>
      </c>
      <c r="AJ323" s="41"/>
      <c r="AK323" s="41"/>
      <c r="AL323" s="42"/>
      <c r="AM323" s="43">
        <f t="array" ref="AM323:AP323">AI323:AL323/4</f>
        <v>66</v>
      </c>
      <c r="AN323" s="44"/>
      <c r="AO323" s="44"/>
      <c r="AP323" s="45"/>
      <c r="AQ323" s="46"/>
    </row>
    <row r="324" ht="15.75" customHeight="1">
      <c r="A324" s="47"/>
      <c r="B324" s="78" t="s">
        <v>14</v>
      </c>
      <c r="C324" s="43"/>
      <c r="D324" s="166"/>
      <c r="E324" s="166"/>
      <c r="F324" s="166"/>
      <c r="G324" s="49"/>
      <c r="H324" s="49"/>
      <c r="I324" s="49"/>
      <c r="J324" s="49"/>
      <c r="K324" s="166"/>
      <c r="L324" s="166"/>
      <c r="M324" s="49"/>
      <c r="N324" s="49"/>
      <c r="O324" s="49"/>
      <c r="P324" s="49"/>
      <c r="Q324" s="49"/>
      <c r="R324" s="166"/>
      <c r="S324" s="166"/>
      <c r="T324" s="49"/>
      <c r="U324" s="49"/>
      <c r="V324" s="49"/>
      <c r="W324" s="49"/>
      <c r="X324" s="49"/>
      <c r="Y324" s="166"/>
      <c r="Z324" s="166"/>
      <c r="AA324" s="166"/>
      <c r="AB324" s="49"/>
      <c r="AC324" s="49"/>
      <c r="AD324" s="49"/>
      <c r="AE324" s="49"/>
      <c r="AF324" s="166"/>
      <c r="AG324" s="188"/>
      <c r="AH324" s="40"/>
      <c r="AI324" s="39">
        <f t="shared" si="17"/>
        <v>0</v>
      </c>
      <c r="AJ324" s="41"/>
      <c r="AK324" s="41"/>
      <c r="AL324" s="42"/>
      <c r="AM324" s="43">
        <f t="array" ref="AM324:AP324">AI324:AL324/4</f>
        <v>0</v>
      </c>
      <c r="AN324" s="44"/>
      <c r="AO324" s="44"/>
      <c r="AP324" s="45"/>
      <c r="AQ324" s="46"/>
    </row>
    <row r="325" ht="15.75" customHeight="1">
      <c r="A325" s="47"/>
      <c r="B325" s="78"/>
      <c r="C325" s="43"/>
      <c r="D325" s="166"/>
      <c r="E325" s="166"/>
      <c r="F325" s="166"/>
      <c r="G325" s="49"/>
      <c r="H325" s="49"/>
      <c r="I325" s="49"/>
      <c r="J325" s="49"/>
      <c r="K325" s="166"/>
      <c r="L325" s="166"/>
      <c r="M325" s="49"/>
      <c r="N325" s="49"/>
      <c r="O325" s="49"/>
      <c r="P325" s="49"/>
      <c r="Q325" s="49"/>
      <c r="R325" s="166"/>
      <c r="S325" s="166"/>
      <c r="T325" s="49"/>
      <c r="U325" s="49"/>
      <c r="V325" s="49"/>
      <c r="W325" s="49"/>
      <c r="X325" s="49"/>
      <c r="Y325" s="166"/>
      <c r="Z325" s="166"/>
      <c r="AA325" s="166"/>
      <c r="AB325" s="49"/>
      <c r="AC325" s="49"/>
      <c r="AD325" s="49"/>
      <c r="AE325" s="49"/>
      <c r="AF325" s="190"/>
      <c r="AG325" s="188"/>
      <c r="AH325" s="40"/>
      <c r="AI325" s="39">
        <f t="shared" si="17"/>
        <v>0</v>
      </c>
      <c r="AJ325" s="41"/>
      <c r="AK325" s="41"/>
      <c r="AL325" s="42"/>
      <c r="AM325" s="43">
        <f t="array" ref="AM325:AP325">AI325:AL325/4</f>
        <v>0</v>
      </c>
      <c r="AN325" s="44"/>
      <c r="AO325" s="44"/>
      <c r="AP325" s="45"/>
      <c r="AQ325" s="46"/>
    </row>
    <row r="326" ht="15.75" customHeight="1">
      <c r="A326" s="47"/>
      <c r="B326" s="78"/>
      <c r="C326" s="43"/>
      <c r="D326" s="166"/>
      <c r="E326" s="166"/>
      <c r="F326" s="166"/>
      <c r="G326" s="49"/>
      <c r="H326" s="49"/>
      <c r="I326" s="49"/>
      <c r="J326" s="49"/>
      <c r="K326" s="166"/>
      <c r="L326" s="166"/>
      <c r="M326" s="49"/>
      <c r="N326" s="49"/>
      <c r="O326" s="49"/>
      <c r="P326" s="49"/>
      <c r="Q326" s="49"/>
      <c r="R326" s="166"/>
      <c r="S326" s="166"/>
      <c r="T326" s="49"/>
      <c r="U326" s="49"/>
      <c r="V326" s="49"/>
      <c r="W326" s="49"/>
      <c r="X326" s="49"/>
      <c r="Y326" s="166"/>
      <c r="Z326" s="166"/>
      <c r="AA326" s="166"/>
      <c r="AB326" s="49"/>
      <c r="AC326" s="49"/>
      <c r="AD326" s="49"/>
      <c r="AE326" s="49"/>
      <c r="AF326" s="190"/>
      <c r="AG326" s="188"/>
      <c r="AH326" s="40"/>
      <c r="AI326" s="39">
        <f t="shared" si="17"/>
        <v>0</v>
      </c>
      <c r="AJ326" s="41"/>
      <c r="AK326" s="41"/>
      <c r="AL326" s="42"/>
      <c r="AM326" s="43">
        <f t="array" ref="AM326:AP326">AI326:AL326/4</f>
        <v>0</v>
      </c>
      <c r="AN326" s="44"/>
      <c r="AO326" s="44"/>
      <c r="AP326" s="45"/>
      <c r="AQ326" s="46"/>
    </row>
    <row r="327" ht="15.75" customHeight="1">
      <c r="A327" s="30"/>
      <c r="B327" s="79" t="s">
        <v>15</v>
      </c>
      <c r="C327" s="69"/>
      <c r="D327" s="169"/>
      <c r="E327" s="170"/>
      <c r="F327" s="186"/>
      <c r="G327" s="80"/>
      <c r="H327" s="80"/>
      <c r="I327" s="80"/>
      <c r="J327" s="80"/>
      <c r="K327" s="169"/>
      <c r="L327" s="170"/>
      <c r="M327" s="80"/>
      <c r="N327" s="103"/>
      <c r="O327" s="103"/>
      <c r="P327" s="80"/>
      <c r="Q327" s="80"/>
      <c r="R327" s="173"/>
      <c r="S327" s="173"/>
      <c r="T327" s="80"/>
      <c r="U327" s="80"/>
      <c r="V327" s="80"/>
      <c r="W327" s="80"/>
      <c r="X327" s="80"/>
      <c r="Y327" s="173"/>
      <c r="Z327" s="173"/>
      <c r="AA327" s="173"/>
      <c r="AB327" s="80"/>
      <c r="AC327" s="80"/>
      <c r="AD327" s="80"/>
      <c r="AE327" s="80"/>
      <c r="AF327" s="186"/>
      <c r="AG327" s="195"/>
      <c r="AH327" s="40"/>
      <c r="AI327" s="55">
        <f t="shared" si="17"/>
        <v>0</v>
      </c>
      <c r="AJ327" s="56"/>
      <c r="AK327" s="56"/>
      <c r="AL327" s="57"/>
      <c r="AM327" s="43">
        <f t="array" ref="AM327:AP327">AI327:AL327/4</f>
        <v>0</v>
      </c>
      <c r="AN327" s="44"/>
      <c r="AO327" s="44"/>
      <c r="AP327" s="45"/>
      <c r="AQ327" s="46"/>
    </row>
    <row r="328" ht="15.75" customHeight="1">
      <c r="A328" s="4" t="s">
        <v>23</v>
      </c>
      <c r="B328" s="5"/>
      <c r="C328" s="6">
        <v>1.0</v>
      </c>
      <c r="D328" s="13">
        <v>2.0</v>
      </c>
      <c r="E328" s="14">
        <v>3.0</v>
      </c>
      <c r="F328" s="9">
        <v>4.0</v>
      </c>
      <c r="G328" s="9">
        <v>5.0</v>
      </c>
      <c r="H328" s="10">
        <v>6.0</v>
      </c>
      <c r="I328" s="11">
        <v>7.0</v>
      </c>
      <c r="J328" s="12">
        <v>8.0</v>
      </c>
      <c r="K328" s="13">
        <v>9.0</v>
      </c>
      <c r="L328" s="14">
        <v>10.0</v>
      </c>
      <c r="M328" s="9">
        <v>11.0</v>
      </c>
      <c r="N328" s="9">
        <v>12.0</v>
      </c>
      <c r="O328" s="10">
        <v>13.0</v>
      </c>
      <c r="P328" s="11">
        <v>14.0</v>
      </c>
      <c r="Q328" s="12">
        <v>15.0</v>
      </c>
      <c r="R328" s="11">
        <v>16.0</v>
      </c>
      <c r="S328" s="9">
        <v>17.0</v>
      </c>
      <c r="T328" s="9">
        <v>18.0</v>
      </c>
      <c r="U328" s="9">
        <v>19.0</v>
      </c>
      <c r="V328" s="15">
        <v>20.0</v>
      </c>
      <c r="W328" s="16">
        <v>21.0</v>
      </c>
      <c r="X328" s="17">
        <v>22.0</v>
      </c>
      <c r="Y328" s="7">
        <v>23.0</v>
      </c>
      <c r="Z328" s="8">
        <v>24.0</v>
      </c>
      <c r="AA328" s="8">
        <v>25.0</v>
      </c>
      <c r="AB328" s="8">
        <v>26.0</v>
      </c>
      <c r="AC328" s="15">
        <v>27.0</v>
      </c>
      <c r="AD328" s="16">
        <v>28.0</v>
      </c>
      <c r="AE328" s="10">
        <v>29.0</v>
      </c>
      <c r="AF328" s="16">
        <v>30.0</v>
      </c>
      <c r="AG328" s="105"/>
      <c r="AH328" s="40"/>
      <c r="AI328" s="22" t="s">
        <v>1</v>
      </c>
      <c r="AJ328" s="5"/>
      <c r="AK328" s="5"/>
      <c r="AL328" s="5"/>
      <c r="AM328" s="22" t="s">
        <v>2</v>
      </c>
      <c r="AN328" s="5"/>
      <c r="AO328" s="5"/>
      <c r="AP328" s="23"/>
      <c r="AQ328" s="46"/>
    </row>
    <row r="329" ht="15.75" customHeight="1">
      <c r="A329" s="25"/>
      <c r="B329" s="2"/>
      <c r="C329" s="26"/>
      <c r="D329" s="27"/>
      <c r="E329" s="28"/>
      <c r="F329" s="28"/>
      <c r="G329" s="28"/>
      <c r="H329" s="29"/>
      <c r="I329" s="30"/>
      <c r="J329" s="31"/>
      <c r="K329" s="27"/>
      <c r="L329" s="28"/>
      <c r="M329" s="28"/>
      <c r="N329" s="28"/>
      <c r="O329" s="29"/>
      <c r="P329" s="30"/>
      <c r="Q329" s="31"/>
      <c r="R329" s="30"/>
      <c r="S329" s="28"/>
      <c r="T329" s="28"/>
      <c r="U329" s="28"/>
      <c r="V329" s="29"/>
      <c r="W329" s="30"/>
      <c r="X329" s="31"/>
      <c r="Y329" s="27"/>
      <c r="Z329" s="28"/>
      <c r="AA329" s="28"/>
      <c r="AB329" s="28"/>
      <c r="AC329" s="29"/>
      <c r="AD329" s="30"/>
      <c r="AE329" s="29"/>
      <c r="AF329" s="30"/>
      <c r="AH329" s="40"/>
      <c r="AI329" s="25"/>
      <c r="AJ329" s="2"/>
      <c r="AK329" s="2"/>
      <c r="AL329" s="2"/>
      <c r="AM329" s="25"/>
      <c r="AN329" s="2"/>
      <c r="AO329" s="2"/>
      <c r="AP329" s="33"/>
      <c r="AQ329" s="46"/>
    </row>
    <row r="330" ht="15.75" customHeight="1">
      <c r="A330" s="34" t="s">
        <v>3</v>
      </c>
      <c r="B330" s="35" t="s">
        <v>4</v>
      </c>
      <c r="C330" s="36"/>
      <c r="D330" s="106"/>
      <c r="E330" s="106"/>
      <c r="F330" s="106"/>
      <c r="G330" s="106"/>
      <c r="H330" s="106"/>
      <c r="I330" s="196"/>
      <c r="J330" s="196"/>
      <c r="K330" s="196"/>
      <c r="L330" s="196"/>
      <c r="M330" s="196"/>
      <c r="N330" s="196"/>
      <c r="O330" s="196"/>
      <c r="P330" s="196"/>
      <c r="Q330" s="37"/>
      <c r="R330" s="106"/>
      <c r="S330" s="106"/>
      <c r="T330" s="106"/>
      <c r="U330" s="106"/>
      <c r="V330" s="106"/>
      <c r="W330" s="106"/>
      <c r="X330" s="106"/>
      <c r="Y330" s="106"/>
      <c r="Z330" s="106"/>
      <c r="AA330" s="37"/>
      <c r="AB330" s="37"/>
      <c r="AC330" s="37"/>
      <c r="AD330" s="106"/>
      <c r="AE330" s="106"/>
      <c r="AF330" s="107"/>
      <c r="AH330" s="40"/>
      <c r="AI330" s="39">
        <f t="shared" ref="AI330:AI346" si="18">SUM(C330:AG330)</f>
        <v>0</v>
      </c>
      <c r="AJ330" s="41"/>
      <c r="AK330" s="41"/>
      <c r="AL330" s="42"/>
      <c r="AM330" s="43">
        <f t="array" ref="AM330:AP330">AI330:AL330/4</f>
        <v>0</v>
      </c>
      <c r="AN330" s="44"/>
      <c r="AO330" s="44"/>
      <c r="AP330" s="45"/>
      <c r="AQ330" s="46"/>
    </row>
    <row r="331" ht="15.75" customHeight="1">
      <c r="A331" s="47"/>
      <c r="B331" s="48" t="s">
        <v>5</v>
      </c>
      <c r="C331" s="43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  <c r="AB331" s="49"/>
      <c r="AC331" s="49"/>
      <c r="AD331" s="49"/>
      <c r="AE331" s="49"/>
      <c r="AF331" s="49"/>
      <c r="AH331" s="40"/>
      <c r="AI331" s="39">
        <f t="shared" si="18"/>
        <v>0</v>
      </c>
      <c r="AJ331" s="41"/>
      <c r="AK331" s="41"/>
      <c r="AL331" s="42"/>
      <c r="AM331" s="43">
        <f t="array" ref="AM331:AP331">AI331:AL331/4</f>
        <v>0</v>
      </c>
      <c r="AN331" s="44"/>
      <c r="AO331" s="44"/>
      <c r="AP331" s="45"/>
      <c r="AQ331" s="46"/>
    </row>
    <row r="332" ht="15.75" customHeight="1">
      <c r="A332" s="47"/>
      <c r="B332" s="48" t="s">
        <v>6</v>
      </c>
      <c r="C332" s="108"/>
      <c r="D332" s="49"/>
      <c r="E332" s="99"/>
      <c r="F332" s="99"/>
      <c r="G332" s="99"/>
      <c r="H332" s="99"/>
      <c r="I332" s="49"/>
      <c r="J332" s="49"/>
      <c r="K332" s="49"/>
      <c r="L332" s="49"/>
      <c r="M332" s="49"/>
      <c r="N332" s="49"/>
      <c r="O332" s="49"/>
      <c r="P332" s="49"/>
      <c r="Q332" s="99"/>
      <c r="R332" s="99"/>
      <c r="S332" s="99"/>
      <c r="T332" s="99"/>
      <c r="U332" s="99"/>
      <c r="V332" s="99"/>
      <c r="W332" s="99"/>
      <c r="X332" s="99"/>
      <c r="Y332" s="99"/>
      <c r="Z332" s="49"/>
      <c r="AA332" s="49"/>
      <c r="AB332" s="49"/>
      <c r="AC332" s="99"/>
      <c r="AD332" s="99"/>
      <c r="AE332" s="99"/>
      <c r="AF332" s="99"/>
      <c r="AH332" s="40"/>
      <c r="AI332" s="39">
        <f t="shared" si="18"/>
        <v>0</v>
      </c>
      <c r="AJ332" s="41"/>
      <c r="AK332" s="41"/>
      <c r="AL332" s="42"/>
      <c r="AM332" s="43">
        <f t="array" ref="AM332:AP332">AI332:AL332/4</f>
        <v>0</v>
      </c>
      <c r="AN332" s="44"/>
      <c r="AO332" s="44"/>
      <c r="AP332" s="45"/>
      <c r="AQ332" s="46"/>
    </row>
    <row r="333" ht="15.75" customHeight="1">
      <c r="A333" s="47"/>
      <c r="B333" s="48" t="s">
        <v>7</v>
      </c>
      <c r="C333" s="108"/>
      <c r="D333" s="99"/>
      <c r="E333" s="99"/>
      <c r="F333" s="99"/>
      <c r="G333" s="99"/>
      <c r="H333" s="99"/>
      <c r="I333" s="49"/>
      <c r="J333" s="49"/>
      <c r="K333" s="49"/>
      <c r="L333" s="49"/>
      <c r="M333" s="49"/>
      <c r="N333" s="49"/>
      <c r="O333" s="49"/>
      <c r="P333" s="49"/>
      <c r="Q333" s="99"/>
      <c r="R333" s="99"/>
      <c r="S333" s="99"/>
      <c r="T333" s="99"/>
      <c r="U333" s="99"/>
      <c r="V333" s="99"/>
      <c r="W333" s="99"/>
      <c r="X333" s="99"/>
      <c r="Y333" s="99"/>
      <c r="Z333" s="49"/>
      <c r="AA333" s="49"/>
      <c r="AB333" s="49"/>
      <c r="AC333" s="99"/>
      <c r="AD333" s="99"/>
      <c r="AE333" s="99"/>
      <c r="AF333" s="99"/>
      <c r="AH333" s="40"/>
      <c r="AI333" s="39">
        <f t="shared" si="18"/>
        <v>0</v>
      </c>
      <c r="AJ333" s="41"/>
      <c r="AK333" s="41"/>
      <c r="AL333" s="42"/>
      <c r="AM333" s="43">
        <f t="array" ref="AM333:AP333">AI333:AL333/4</f>
        <v>0</v>
      </c>
      <c r="AN333" s="44"/>
      <c r="AO333" s="44"/>
      <c r="AP333" s="45"/>
      <c r="AQ333" s="46"/>
    </row>
    <row r="334" ht="15.75" customHeight="1">
      <c r="A334" s="47"/>
      <c r="B334" s="48"/>
      <c r="C334" s="109"/>
      <c r="D334" s="101"/>
      <c r="E334" s="53"/>
      <c r="F334" s="101"/>
      <c r="G334" s="101"/>
      <c r="H334" s="101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  <c r="AH334" s="40"/>
      <c r="AI334" s="39">
        <f t="shared" si="18"/>
        <v>0</v>
      </c>
      <c r="AJ334" s="41"/>
      <c r="AK334" s="41"/>
      <c r="AL334" s="42"/>
      <c r="AM334" s="43">
        <f t="array" ref="AM334:AP334">AI334:AL334/4</f>
        <v>0</v>
      </c>
      <c r="AN334" s="44"/>
      <c r="AO334" s="44"/>
      <c r="AP334" s="45"/>
      <c r="AQ334" s="46"/>
    </row>
    <row r="335" ht="15.75" customHeight="1">
      <c r="A335" s="47"/>
      <c r="B335" s="48"/>
      <c r="C335" s="52"/>
      <c r="D335" s="53"/>
      <c r="E335" s="53"/>
      <c r="F335" s="53"/>
      <c r="G335" s="53"/>
      <c r="H335" s="101">
        <v>0.0</v>
      </c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H335" s="40"/>
      <c r="AI335" s="39">
        <f t="shared" si="18"/>
        <v>0</v>
      </c>
      <c r="AJ335" s="41"/>
      <c r="AK335" s="41"/>
      <c r="AL335" s="42"/>
      <c r="AM335" s="43">
        <f t="array" ref="AM335:AP335">AI335:AL335/4</f>
        <v>0</v>
      </c>
      <c r="AN335" s="44"/>
      <c r="AO335" s="44"/>
      <c r="AP335" s="45"/>
      <c r="AQ335" s="46"/>
    </row>
    <row r="336" ht="15.75" customHeight="1">
      <c r="A336" s="47"/>
      <c r="B336" s="48"/>
      <c r="C336" s="52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H336" s="40"/>
      <c r="AI336" s="39">
        <f t="shared" si="18"/>
        <v>0</v>
      </c>
      <c r="AJ336" s="41"/>
      <c r="AK336" s="41"/>
      <c r="AL336" s="42"/>
      <c r="AM336" s="43">
        <f t="array" ref="AM336:AP336">AI336:AL336/4</f>
        <v>0</v>
      </c>
      <c r="AN336" s="44"/>
      <c r="AO336" s="44"/>
      <c r="AP336" s="45"/>
      <c r="AQ336" s="46"/>
    </row>
    <row r="337" ht="15.75" customHeight="1">
      <c r="A337" s="30"/>
      <c r="B337" s="48"/>
      <c r="C337" s="52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  <c r="AH337" s="40"/>
      <c r="AI337" s="55">
        <f t="shared" si="18"/>
        <v>0</v>
      </c>
      <c r="AJ337" s="56"/>
      <c r="AK337" s="56"/>
      <c r="AL337" s="57"/>
      <c r="AM337" s="52">
        <f t="array" ref="AM337:AP337">AI337:AL337/4</f>
        <v>0</v>
      </c>
      <c r="AN337" s="56"/>
      <c r="AO337" s="56"/>
      <c r="AP337" s="57"/>
      <c r="AQ337" s="46"/>
    </row>
    <row r="338" ht="15.75" customHeight="1">
      <c r="A338" s="58" t="s">
        <v>8</v>
      </c>
      <c r="B338" s="59" t="s">
        <v>9</v>
      </c>
      <c r="C338" s="36"/>
      <c r="D338" s="61"/>
      <c r="E338" s="61"/>
      <c r="F338" s="61"/>
      <c r="G338" s="61"/>
      <c r="H338" s="61"/>
      <c r="I338" s="100"/>
      <c r="J338" s="100"/>
      <c r="K338" s="100"/>
      <c r="L338" s="100"/>
      <c r="M338" s="100"/>
      <c r="N338" s="100"/>
      <c r="O338" s="100"/>
      <c r="P338" s="100"/>
      <c r="Q338" s="100"/>
      <c r="R338" s="61"/>
      <c r="S338" s="61"/>
      <c r="T338" s="61"/>
      <c r="U338" s="62"/>
      <c r="V338" s="63"/>
      <c r="W338" s="63"/>
      <c r="X338" s="63"/>
      <c r="Y338" s="63"/>
      <c r="Z338" s="110"/>
      <c r="AA338" s="100"/>
      <c r="AB338" s="100"/>
      <c r="AC338" s="100"/>
      <c r="AD338" s="61"/>
      <c r="AE338" s="61"/>
      <c r="AF338" s="61"/>
      <c r="AH338" s="40"/>
      <c r="AI338" s="64">
        <f t="shared" si="18"/>
        <v>0</v>
      </c>
      <c r="AJ338" s="65"/>
      <c r="AK338" s="65"/>
      <c r="AL338" s="66"/>
      <c r="AM338" s="36">
        <f t="array" ref="AM338:AP338">AI338:AL338/4</f>
        <v>0</v>
      </c>
      <c r="AN338" s="65"/>
      <c r="AO338" s="65"/>
      <c r="AP338" s="66"/>
      <c r="AQ338" s="46"/>
    </row>
    <row r="339" ht="15.75" customHeight="1">
      <c r="A339" s="67"/>
      <c r="B339" s="68" t="s">
        <v>18</v>
      </c>
      <c r="C339" s="197"/>
      <c r="D339" s="194"/>
      <c r="E339" s="194"/>
      <c r="F339" s="194"/>
      <c r="G339" s="194"/>
      <c r="H339" s="194"/>
      <c r="I339" s="198"/>
      <c r="J339" s="198"/>
      <c r="K339" s="101"/>
      <c r="L339" s="101"/>
      <c r="M339" s="101"/>
      <c r="N339" s="101"/>
      <c r="O339" s="101"/>
      <c r="P339" s="101"/>
      <c r="Q339" s="101"/>
      <c r="R339" s="53"/>
      <c r="S339" s="53"/>
      <c r="T339" s="53"/>
      <c r="U339" s="88"/>
      <c r="V339" s="111"/>
      <c r="W339" s="111"/>
      <c r="X339" s="111"/>
      <c r="Y339" s="111"/>
      <c r="Z339" s="49"/>
      <c r="AA339" s="101"/>
      <c r="AB339" s="53"/>
      <c r="AC339" s="53"/>
      <c r="AD339" s="53"/>
      <c r="AE339" s="101"/>
      <c r="AF339" s="101"/>
      <c r="AH339" s="40"/>
      <c r="AI339" s="39">
        <f t="shared" si="18"/>
        <v>0</v>
      </c>
      <c r="AJ339" s="41"/>
      <c r="AK339" s="41"/>
      <c r="AL339" s="42"/>
      <c r="AM339" s="43">
        <f t="array" ref="AM339:AP339">AI339:AL339/4</f>
        <v>0</v>
      </c>
      <c r="AN339" s="44"/>
      <c r="AO339" s="44"/>
      <c r="AP339" s="45"/>
      <c r="AQ339" s="46"/>
    </row>
    <row r="340" ht="15.75" customHeight="1">
      <c r="A340" s="32"/>
      <c r="B340" s="68"/>
      <c r="C340" s="52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63"/>
      <c r="AA340" s="53"/>
      <c r="AB340" s="53"/>
      <c r="AC340" s="53"/>
      <c r="AD340" s="53"/>
      <c r="AE340" s="53"/>
      <c r="AF340" s="53"/>
      <c r="AH340" s="40"/>
      <c r="AI340" s="55">
        <f t="shared" si="18"/>
        <v>0</v>
      </c>
      <c r="AJ340" s="56"/>
      <c r="AK340" s="56"/>
      <c r="AL340" s="57"/>
      <c r="AM340" s="40">
        <f t="array" ref="AM340:AP340">AI340:AL340/4</f>
        <v>0</v>
      </c>
      <c r="AP340" s="74"/>
      <c r="AQ340" s="46"/>
    </row>
    <row r="341" ht="15.75" customHeight="1">
      <c r="A341" s="75" t="s">
        <v>11</v>
      </c>
      <c r="B341" s="76" t="s">
        <v>12</v>
      </c>
      <c r="C341" s="102"/>
      <c r="D341" s="100"/>
      <c r="E341" s="100"/>
      <c r="F341" s="100"/>
      <c r="G341" s="100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100"/>
      <c r="U341" s="100"/>
      <c r="V341" s="100"/>
      <c r="W341" s="100"/>
      <c r="X341" s="61"/>
      <c r="Y341" s="100"/>
      <c r="Z341" s="100"/>
      <c r="AA341" s="100"/>
      <c r="AB341" s="100"/>
      <c r="AC341" s="100"/>
      <c r="AD341" s="100"/>
      <c r="AE341" s="61"/>
      <c r="AF341" s="61"/>
      <c r="AH341" s="40"/>
      <c r="AI341" s="64">
        <f t="shared" si="18"/>
        <v>0</v>
      </c>
      <c r="AJ341" s="65"/>
      <c r="AK341" s="65"/>
      <c r="AL341" s="66"/>
      <c r="AM341" s="36">
        <f t="array" ref="AM341:AP341">AI341:AL341/4</f>
        <v>0</v>
      </c>
      <c r="AN341" s="65"/>
      <c r="AO341" s="65"/>
      <c r="AP341" s="66"/>
      <c r="AQ341" s="46"/>
    </row>
    <row r="342" ht="15.75" customHeight="1">
      <c r="A342" s="47"/>
      <c r="B342" s="78" t="s">
        <v>13</v>
      </c>
      <c r="C342" s="108"/>
      <c r="D342" s="99"/>
      <c r="E342" s="99"/>
      <c r="F342" s="99"/>
      <c r="G342" s="99"/>
      <c r="H342" s="99"/>
      <c r="I342" s="49"/>
      <c r="J342" s="49"/>
      <c r="K342" s="49"/>
      <c r="L342" s="49"/>
      <c r="M342" s="49"/>
      <c r="N342" s="49"/>
      <c r="O342" s="49"/>
      <c r="P342" s="49"/>
      <c r="Q342" s="49"/>
      <c r="R342" s="99"/>
      <c r="S342" s="99"/>
      <c r="T342" s="99"/>
      <c r="U342" s="99"/>
      <c r="V342" s="99"/>
      <c r="W342" s="99"/>
      <c r="X342" s="99"/>
      <c r="Y342" s="99"/>
      <c r="Z342" s="99"/>
      <c r="AA342" s="99"/>
      <c r="AB342" s="99"/>
      <c r="AC342" s="99"/>
      <c r="AD342" s="49"/>
      <c r="AE342" s="49"/>
      <c r="AF342" s="49"/>
      <c r="AH342" s="40"/>
      <c r="AI342" s="39">
        <f t="shared" si="18"/>
        <v>0</v>
      </c>
      <c r="AJ342" s="41"/>
      <c r="AK342" s="41"/>
      <c r="AL342" s="42"/>
      <c r="AM342" s="43">
        <f t="array" ref="AM342:AP342">AI342:AL342/4</f>
        <v>0</v>
      </c>
      <c r="AN342" s="44"/>
      <c r="AO342" s="44"/>
      <c r="AP342" s="45"/>
      <c r="AQ342" s="46"/>
    </row>
    <row r="343" ht="15.75" customHeight="1">
      <c r="A343" s="47"/>
      <c r="B343" s="78" t="s">
        <v>14</v>
      </c>
      <c r="C343" s="43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  <c r="AD343" s="49"/>
      <c r="AE343" s="49"/>
      <c r="AF343" s="49"/>
      <c r="AH343" s="40"/>
      <c r="AI343" s="39">
        <f t="shared" si="18"/>
        <v>0</v>
      </c>
      <c r="AJ343" s="41"/>
      <c r="AK343" s="41"/>
      <c r="AL343" s="42"/>
      <c r="AM343" s="43">
        <f t="array" ref="AM343:AP343">AI343:AL343/4</f>
        <v>0</v>
      </c>
      <c r="AN343" s="44"/>
      <c r="AO343" s="44"/>
      <c r="AP343" s="45"/>
      <c r="AQ343" s="46"/>
    </row>
    <row r="344" ht="15.75" customHeight="1">
      <c r="A344" s="47"/>
      <c r="B344" s="78"/>
      <c r="C344" s="43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  <c r="AD344" s="49"/>
      <c r="AE344" s="49"/>
      <c r="AF344" s="94"/>
      <c r="AH344" s="40"/>
      <c r="AI344" s="39">
        <f t="shared" si="18"/>
        <v>0</v>
      </c>
      <c r="AJ344" s="41"/>
      <c r="AK344" s="41"/>
      <c r="AL344" s="42"/>
      <c r="AM344" s="43">
        <f t="array" ref="AM344:AP344">AI344:AL344/4</f>
        <v>0</v>
      </c>
      <c r="AN344" s="44"/>
      <c r="AO344" s="44"/>
      <c r="AP344" s="45"/>
      <c r="AQ344" s="46"/>
    </row>
    <row r="345" ht="15.75" customHeight="1">
      <c r="A345" s="47"/>
      <c r="B345" s="78"/>
      <c r="C345" s="43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  <c r="AD345" s="49"/>
      <c r="AE345" s="49"/>
      <c r="AF345" s="94"/>
      <c r="AH345" s="40"/>
      <c r="AI345" s="39">
        <f t="shared" si="18"/>
        <v>0</v>
      </c>
      <c r="AJ345" s="41"/>
      <c r="AK345" s="41"/>
      <c r="AL345" s="42"/>
      <c r="AM345" s="43">
        <f t="array" ref="AM345:AP345">AI345:AL345/4</f>
        <v>0</v>
      </c>
      <c r="AN345" s="44"/>
      <c r="AO345" s="44"/>
      <c r="AP345" s="45"/>
      <c r="AQ345" s="46"/>
    </row>
    <row r="346" ht="15.75" customHeight="1">
      <c r="A346" s="30"/>
      <c r="B346" s="79" t="s">
        <v>15</v>
      </c>
      <c r="C346" s="112"/>
      <c r="D346" s="103"/>
      <c r="E346" s="80"/>
      <c r="F346" s="103"/>
      <c r="G346" s="80"/>
      <c r="H346" s="103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103"/>
      <c r="T346" s="80"/>
      <c r="U346" s="103"/>
      <c r="V346" s="103"/>
      <c r="W346" s="80"/>
      <c r="X346" s="80"/>
      <c r="Y346" s="103"/>
      <c r="Z346" s="80"/>
      <c r="AA346" s="80"/>
      <c r="AB346" s="80"/>
      <c r="AC346" s="80"/>
      <c r="AD346" s="80"/>
      <c r="AE346" s="103"/>
      <c r="AF346" s="80"/>
      <c r="AG346" s="41"/>
      <c r="AH346" s="40"/>
      <c r="AI346" s="55">
        <f t="shared" si="18"/>
        <v>0</v>
      </c>
      <c r="AJ346" s="56"/>
      <c r="AK346" s="56"/>
      <c r="AL346" s="57"/>
      <c r="AM346" s="43">
        <f t="array" ref="AM346:AP346">AI346:AL346/4</f>
        <v>0</v>
      </c>
      <c r="AN346" s="44"/>
      <c r="AO346" s="44"/>
      <c r="AP346" s="45"/>
      <c r="AQ346" s="46"/>
    </row>
    <row r="347" ht="15.75" customHeight="1">
      <c r="A347" s="4" t="s">
        <v>24</v>
      </c>
      <c r="B347" s="5"/>
      <c r="C347" s="6">
        <v>1.0</v>
      </c>
      <c r="D347" s="13">
        <v>2.0</v>
      </c>
      <c r="E347" s="14">
        <v>3.0</v>
      </c>
      <c r="F347" s="9">
        <v>4.0</v>
      </c>
      <c r="G347" s="9">
        <v>5.0</v>
      </c>
      <c r="H347" s="10">
        <v>6.0</v>
      </c>
      <c r="I347" s="11">
        <v>7.0</v>
      </c>
      <c r="J347" s="12">
        <v>8.0</v>
      </c>
      <c r="K347" s="13">
        <v>9.0</v>
      </c>
      <c r="L347" s="14">
        <v>10.0</v>
      </c>
      <c r="M347" s="9">
        <v>11.0</v>
      </c>
      <c r="N347" s="9">
        <v>12.0</v>
      </c>
      <c r="O347" s="10">
        <v>13.0</v>
      </c>
      <c r="P347" s="11">
        <v>14.0</v>
      </c>
      <c r="Q347" s="12">
        <v>15.0</v>
      </c>
      <c r="R347" s="11">
        <v>16.0</v>
      </c>
      <c r="S347" s="9">
        <v>17.0</v>
      </c>
      <c r="T347" s="9">
        <v>18.0</v>
      </c>
      <c r="U347" s="9">
        <v>19.0</v>
      </c>
      <c r="V347" s="15">
        <v>20.0</v>
      </c>
      <c r="W347" s="16">
        <v>21.0</v>
      </c>
      <c r="X347" s="17">
        <v>22.0</v>
      </c>
      <c r="Y347" s="7">
        <v>23.0</v>
      </c>
      <c r="Z347" s="8">
        <v>24.0</v>
      </c>
      <c r="AA347" s="8">
        <v>25.0</v>
      </c>
      <c r="AB347" s="8">
        <v>26.0</v>
      </c>
      <c r="AC347" s="15">
        <v>27.0</v>
      </c>
      <c r="AD347" s="16">
        <v>28.0</v>
      </c>
      <c r="AE347" s="10">
        <v>29.0</v>
      </c>
      <c r="AF347" s="16">
        <v>30.0</v>
      </c>
      <c r="AG347" s="97">
        <v>31.0</v>
      </c>
      <c r="AH347" s="21">
        <f>SUM(AI330:AL346)</f>
        <v>0</v>
      </c>
      <c r="AI347" s="22" t="s">
        <v>1</v>
      </c>
      <c r="AJ347" s="5"/>
      <c r="AK347" s="5"/>
      <c r="AL347" s="5"/>
      <c r="AM347" s="22" t="s">
        <v>2</v>
      </c>
      <c r="AN347" s="5"/>
      <c r="AO347" s="5"/>
      <c r="AP347" s="23"/>
      <c r="AQ347" s="46"/>
    </row>
    <row r="348" ht="15.75" customHeight="1">
      <c r="A348" s="25"/>
      <c r="B348" s="2"/>
      <c r="C348" s="26"/>
      <c r="D348" s="27"/>
      <c r="E348" s="28"/>
      <c r="F348" s="28"/>
      <c r="G348" s="28"/>
      <c r="H348" s="29"/>
      <c r="I348" s="30"/>
      <c r="J348" s="31"/>
      <c r="K348" s="27"/>
      <c r="L348" s="28"/>
      <c r="M348" s="28"/>
      <c r="N348" s="28"/>
      <c r="O348" s="29"/>
      <c r="P348" s="30"/>
      <c r="Q348" s="31"/>
      <c r="R348" s="30"/>
      <c r="S348" s="28"/>
      <c r="T348" s="28"/>
      <c r="U348" s="28"/>
      <c r="V348" s="29"/>
      <c r="W348" s="30"/>
      <c r="X348" s="31"/>
      <c r="Y348" s="27"/>
      <c r="Z348" s="28"/>
      <c r="AA348" s="28"/>
      <c r="AB348" s="28"/>
      <c r="AC348" s="29"/>
      <c r="AD348" s="30"/>
      <c r="AE348" s="29"/>
      <c r="AF348" s="30"/>
      <c r="AG348" s="98"/>
      <c r="AH348" s="21"/>
      <c r="AI348" s="25"/>
      <c r="AJ348" s="2"/>
      <c r="AK348" s="2"/>
      <c r="AL348" s="2"/>
      <c r="AM348" s="25"/>
      <c r="AN348" s="2"/>
      <c r="AO348" s="2"/>
      <c r="AP348" s="33"/>
      <c r="AQ348" s="46"/>
    </row>
    <row r="349" ht="15.75" customHeight="1">
      <c r="A349" s="34" t="s">
        <v>3</v>
      </c>
      <c r="B349" s="35" t="s">
        <v>4</v>
      </c>
      <c r="C349" s="102"/>
      <c r="D349" s="37"/>
      <c r="E349" s="37"/>
      <c r="F349" s="37"/>
      <c r="G349" s="106"/>
      <c r="H349" s="106"/>
      <c r="I349" s="106"/>
      <c r="J349" s="106"/>
      <c r="K349" s="106"/>
      <c r="L349" s="106"/>
      <c r="M349" s="37"/>
      <c r="N349" s="37"/>
      <c r="O349" s="106"/>
      <c r="P349" s="106"/>
      <c r="Q349" s="106"/>
      <c r="R349" s="106"/>
      <c r="S349" s="106"/>
      <c r="T349" s="106"/>
      <c r="U349" s="106"/>
      <c r="V349" s="106"/>
      <c r="W349" s="106"/>
      <c r="X349" s="106"/>
      <c r="Y349" s="106"/>
      <c r="Z349" s="106"/>
      <c r="AA349" s="106"/>
      <c r="AB349" s="37"/>
      <c r="AC349" s="37"/>
      <c r="AD349" s="37"/>
      <c r="AE349" s="37"/>
      <c r="AF349" s="113"/>
      <c r="AG349" s="39"/>
      <c r="AH349" s="40"/>
      <c r="AI349" s="39">
        <f t="shared" ref="AI349:AI364" si="19">SUM(C349:AG349)</f>
        <v>0</v>
      </c>
      <c r="AJ349" s="41"/>
      <c r="AK349" s="41"/>
      <c r="AL349" s="42"/>
      <c r="AM349" s="43">
        <f t="array" ref="AM349:AP349">AI349:AL349/4</f>
        <v>0</v>
      </c>
      <c r="AN349" s="44"/>
      <c r="AO349" s="44"/>
      <c r="AP349" s="45"/>
      <c r="AQ349" s="46"/>
    </row>
    <row r="350" ht="15.75" customHeight="1">
      <c r="A350" s="47"/>
      <c r="B350" s="48" t="s">
        <v>5</v>
      </c>
      <c r="C350" s="43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  <c r="AB350" s="49"/>
      <c r="AC350" s="49"/>
      <c r="AD350" s="49"/>
      <c r="AE350" s="49"/>
      <c r="AF350" s="94"/>
      <c r="AG350" s="50"/>
      <c r="AH350" s="40"/>
      <c r="AI350" s="39">
        <f t="shared" si="19"/>
        <v>0</v>
      </c>
      <c r="AJ350" s="41"/>
      <c r="AK350" s="41"/>
      <c r="AL350" s="42"/>
      <c r="AM350" s="43">
        <f t="array" ref="AM350:AP350">AI350:AL350/4</f>
        <v>0</v>
      </c>
      <c r="AN350" s="44"/>
      <c r="AO350" s="44"/>
      <c r="AP350" s="45"/>
      <c r="AQ350" s="46"/>
    </row>
    <row r="351" ht="15.75" customHeight="1">
      <c r="A351" s="47"/>
      <c r="B351" s="48" t="s">
        <v>6</v>
      </c>
      <c r="C351" s="108"/>
      <c r="D351" s="99"/>
      <c r="E351" s="49"/>
      <c r="F351" s="99"/>
      <c r="G351" s="99"/>
      <c r="H351" s="99"/>
      <c r="I351" s="99"/>
      <c r="J351" s="99"/>
      <c r="K351" s="99"/>
      <c r="L351" s="49"/>
      <c r="M351" s="49"/>
      <c r="N351" s="49"/>
      <c r="O351" s="99"/>
      <c r="P351" s="99"/>
      <c r="Q351" s="99"/>
      <c r="R351" s="99"/>
      <c r="S351" s="99"/>
      <c r="T351" s="99"/>
      <c r="U351" s="99"/>
      <c r="V351" s="99"/>
      <c r="W351" s="99"/>
      <c r="X351" s="99"/>
      <c r="Y351" s="99"/>
      <c r="Z351" s="99"/>
      <c r="AA351" s="99"/>
      <c r="AB351" s="49"/>
      <c r="AC351" s="49"/>
      <c r="AD351" s="49"/>
      <c r="AE351" s="49"/>
      <c r="AF351" s="94"/>
      <c r="AG351" s="50"/>
      <c r="AH351" s="40"/>
      <c r="AI351" s="39">
        <f t="shared" si="19"/>
        <v>0</v>
      </c>
      <c r="AJ351" s="41"/>
      <c r="AK351" s="41"/>
      <c r="AL351" s="42"/>
      <c r="AM351" s="43">
        <f t="array" ref="AM351:AP351">AI351:AL351/4</f>
        <v>0</v>
      </c>
      <c r="AN351" s="44"/>
      <c r="AO351" s="44"/>
      <c r="AP351" s="45"/>
      <c r="AQ351" s="46"/>
    </row>
    <row r="352" ht="15.75" customHeight="1">
      <c r="A352" s="47"/>
      <c r="B352" s="48" t="s">
        <v>7</v>
      </c>
      <c r="C352" s="108"/>
      <c r="D352" s="49"/>
      <c r="E352" s="49"/>
      <c r="F352" s="99"/>
      <c r="G352" s="99"/>
      <c r="H352" s="99"/>
      <c r="I352" s="99"/>
      <c r="J352" s="99"/>
      <c r="K352" s="99"/>
      <c r="L352" s="99"/>
      <c r="M352" s="49"/>
      <c r="N352" s="49"/>
      <c r="O352" s="99"/>
      <c r="P352" s="99"/>
      <c r="Q352" s="99"/>
      <c r="R352" s="99"/>
      <c r="S352" s="99"/>
      <c r="T352" s="99"/>
      <c r="U352" s="99"/>
      <c r="V352" s="99"/>
      <c r="W352" s="99"/>
      <c r="X352" s="99"/>
      <c r="Y352" s="99"/>
      <c r="Z352" s="99"/>
      <c r="AA352" s="99"/>
      <c r="AB352" s="49"/>
      <c r="AC352" s="49"/>
      <c r="AD352" s="49"/>
      <c r="AE352" s="49"/>
      <c r="AF352" s="49"/>
      <c r="AG352" s="50"/>
      <c r="AH352" s="40"/>
      <c r="AI352" s="39">
        <f t="shared" si="19"/>
        <v>0</v>
      </c>
      <c r="AJ352" s="41"/>
      <c r="AK352" s="41"/>
      <c r="AL352" s="42"/>
      <c r="AM352" s="43">
        <f t="array" ref="AM352:AP352">AI352:AL352/4</f>
        <v>0</v>
      </c>
      <c r="AN352" s="44"/>
      <c r="AO352" s="44"/>
      <c r="AP352" s="45"/>
      <c r="AQ352" s="46"/>
    </row>
    <row r="353" ht="15.75" customHeight="1">
      <c r="A353" s="47"/>
      <c r="B353" s="114" t="s">
        <v>25</v>
      </c>
      <c r="C353" s="52"/>
      <c r="D353" s="53"/>
      <c r="E353" s="53"/>
      <c r="F353" s="53"/>
      <c r="G353" s="53"/>
      <c r="H353" s="101"/>
      <c r="I353" s="101"/>
      <c r="J353" s="101"/>
      <c r="K353" s="101"/>
      <c r="L353" s="53"/>
      <c r="M353" s="53"/>
      <c r="N353" s="53"/>
      <c r="O353" s="53"/>
      <c r="P353" s="101"/>
      <c r="Q353" s="101"/>
      <c r="R353" s="101"/>
      <c r="S353" s="101"/>
      <c r="T353" s="101"/>
      <c r="U353" s="101"/>
      <c r="V353" s="101"/>
      <c r="W353" s="101"/>
      <c r="X353" s="101"/>
      <c r="Y353" s="101"/>
      <c r="Z353" s="101"/>
      <c r="AA353" s="101"/>
      <c r="AB353" s="53"/>
      <c r="AC353" s="53"/>
      <c r="AD353" s="53"/>
      <c r="AE353" s="53"/>
      <c r="AF353" s="53"/>
      <c r="AG353" s="55"/>
      <c r="AH353" s="40"/>
      <c r="AI353" s="39">
        <f t="shared" si="19"/>
        <v>0</v>
      </c>
      <c r="AJ353" s="41"/>
      <c r="AK353" s="41"/>
      <c r="AL353" s="42"/>
      <c r="AM353" s="43">
        <f t="array" ref="AM353:AP353">AI353:AL353/4</f>
        <v>0</v>
      </c>
      <c r="AN353" s="44"/>
      <c r="AO353" s="44"/>
      <c r="AP353" s="45"/>
      <c r="AQ353" s="46"/>
    </row>
    <row r="354" ht="15.75" customHeight="1">
      <c r="A354" s="47"/>
      <c r="B354" s="48"/>
      <c r="C354" s="52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5"/>
      <c r="AH354" s="40"/>
      <c r="AI354" s="39">
        <f t="shared" si="19"/>
        <v>0</v>
      </c>
      <c r="AJ354" s="41"/>
      <c r="AK354" s="41"/>
      <c r="AL354" s="42"/>
      <c r="AM354" s="43">
        <f t="array" ref="AM354:AP354">AI354:AL354/4</f>
        <v>0</v>
      </c>
      <c r="AN354" s="44"/>
      <c r="AO354" s="44"/>
      <c r="AP354" s="45"/>
      <c r="AQ354" s="46"/>
    </row>
    <row r="355" ht="15.75" customHeight="1">
      <c r="A355" s="47"/>
      <c r="B355" s="48"/>
      <c r="C355" s="52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5"/>
      <c r="AH355" s="40"/>
      <c r="AI355" s="39">
        <f t="shared" si="19"/>
        <v>0</v>
      </c>
      <c r="AJ355" s="41"/>
      <c r="AK355" s="41"/>
      <c r="AL355" s="42"/>
      <c r="AM355" s="43">
        <f t="array" ref="AM355:AP355">AI355:AL355/4</f>
        <v>0</v>
      </c>
      <c r="AN355" s="44"/>
      <c r="AO355" s="44"/>
      <c r="AP355" s="45"/>
      <c r="AQ355" s="46"/>
    </row>
    <row r="356" ht="15.75" customHeight="1">
      <c r="A356" s="30"/>
      <c r="B356" s="48"/>
      <c r="C356" s="52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  <c r="AG356" s="55"/>
      <c r="AH356" s="40"/>
      <c r="AI356" s="55">
        <f t="shared" si="19"/>
        <v>0</v>
      </c>
      <c r="AJ356" s="56"/>
      <c r="AK356" s="56"/>
      <c r="AL356" s="57"/>
      <c r="AM356" s="52">
        <f t="array" ref="AM356:AP356">AI356:AL356/4</f>
        <v>0</v>
      </c>
      <c r="AN356" s="56"/>
      <c r="AO356" s="56"/>
      <c r="AP356" s="57"/>
      <c r="AQ356" s="46"/>
    </row>
    <row r="357" ht="15.75" customHeight="1">
      <c r="A357" s="58" t="s">
        <v>8</v>
      </c>
      <c r="B357" s="59" t="s">
        <v>9</v>
      </c>
      <c r="C357" s="36"/>
      <c r="D357" s="100"/>
      <c r="E357" s="100"/>
      <c r="F357" s="100"/>
      <c r="G357" s="61"/>
      <c r="H357" s="61"/>
      <c r="I357" s="61"/>
      <c r="J357" s="61"/>
      <c r="K357" s="61"/>
      <c r="L357" s="61"/>
      <c r="M357" s="100"/>
      <c r="N357" s="100"/>
      <c r="O357" s="100"/>
      <c r="P357" s="100"/>
      <c r="Q357" s="61"/>
      <c r="R357" s="61"/>
      <c r="S357" s="61"/>
      <c r="T357" s="62"/>
      <c r="U357" s="63"/>
      <c r="V357" s="61"/>
      <c r="W357" s="61"/>
      <c r="X357" s="61"/>
      <c r="Y357" s="61"/>
      <c r="Z357" s="61"/>
      <c r="AA357" s="61"/>
      <c r="AB357" s="100"/>
      <c r="AC357" s="100"/>
      <c r="AD357" s="100"/>
      <c r="AE357" s="100"/>
      <c r="AF357" s="100"/>
      <c r="AG357" s="100"/>
      <c r="AH357" s="40"/>
      <c r="AI357" s="64">
        <f t="shared" si="19"/>
        <v>0</v>
      </c>
      <c r="AJ357" s="65"/>
      <c r="AK357" s="65"/>
      <c r="AL357" s="66"/>
      <c r="AM357" s="36">
        <f t="array" ref="AM357:AP357">AI357:AL357/4</f>
        <v>0</v>
      </c>
      <c r="AN357" s="65"/>
      <c r="AO357" s="65"/>
      <c r="AP357" s="66"/>
      <c r="AQ357" s="46"/>
    </row>
    <row r="358" ht="15.75" customHeight="1">
      <c r="A358" s="67"/>
      <c r="B358" s="68" t="s">
        <v>18</v>
      </c>
      <c r="C358" s="52"/>
      <c r="D358" s="101"/>
      <c r="E358" s="101"/>
      <c r="F358" s="101"/>
      <c r="G358" s="53"/>
      <c r="H358" s="53"/>
      <c r="I358" s="53"/>
      <c r="J358" s="53"/>
      <c r="K358" s="53"/>
      <c r="L358" s="101"/>
      <c r="M358" s="101"/>
      <c r="N358" s="101"/>
      <c r="O358" s="101"/>
      <c r="P358" s="101"/>
      <c r="Q358" s="53"/>
      <c r="R358" s="53"/>
      <c r="S358" s="53"/>
      <c r="T358" s="88"/>
      <c r="U358" s="89"/>
      <c r="V358" s="53"/>
      <c r="W358" s="53"/>
      <c r="X358" s="53"/>
      <c r="Y358" s="53"/>
      <c r="Z358" s="53"/>
      <c r="AA358" s="53"/>
      <c r="AB358" s="101"/>
      <c r="AC358" s="101"/>
      <c r="AD358" s="101"/>
      <c r="AE358" s="101"/>
      <c r="AF358" s="101"/>
      <c r="AG358" s="101"/>
      <c r="AH358" s="40"/>
      <c r="AI358" s="39">
        <f t="shared" si="19"/>
        <v>0</v>
      </c>
      <c r="AJ358" s="41"/>
      <c r="AK358" s="41"/>
      <c r="AL358" s="42"/>
      <c r="AM358" s="43">
        <f t="array" ref="AM358:AP358">AI358:AL358/4</f>
        <v>0</v>
      </c>
      <c r="AN358" s="44"/>
      <c r="AO358" s="44"/>
      <c r="AP358" s="45"/>
      <c r="AQ358" s="46"/>
    </row>
    <row r="359" ht="15.75" customHeight="1">
      <c r="A359" s="32"/>
      <c r="B359" s="68"/>
      <c r="C359" s="52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5"/>
      <c r="AH359" s="40"/>
      <c r="AI359" s="55">
        <f t="shared" si="19"/>
        <v>0</v>
      </c>
      <c r="AJ359" s="56"/>
      <c r="AK359" s="56"/>
      <c r="AL359" s="57"/>
      <c r="AM359" s="40">
        <f t="array" ref="AM359:AP359">AI359:AL359/4</f>
        <v>0</v>
      </c>
      <c r="AP359" s="74"/>
      <c r="AQ359" s="46"/>
    </row>
    <row r="360" ht="15.75" customHeight="1">
      <c r="A360" s="75" t="s">
        <v>11</v>
      </c>
      <c r="B360" s="76" t="s">
        <v>12</v>
      </c>
      <c r="C360" s="102"/>
      <c r="D360" s="61"/>
      <c r="E360" s="61"/>
      <c r="F360" s="61"/>
      <c r="G360" s="61"/>
      <c r="H360" s="61"/>
      <c r="I360" s="100"/>
      <c r="J360" s="100"/>
      <c r="K360" s="61"/>
      <c r="L360" s="100"/>
      <c r="M360" s="61"/>
      <c r="N360" s="61"/>
      <c r="O360" s="61"/>
      <c r="P360" s="100"/>
      <c r="Q360" s="61"/>
      <c r="R360" s="61"/>
      <c r="S360" s="100"/>
      <c r="T360" s="100"/>
      <c r="U360" s="61"/>
      <c r="V360" s="100"/>
      <c r="W360" s="61"/>
      <c r="X360" s="100"/>
      <c r="Y360" s="100"/>
      <c r="Z360" s="61"/>
      <c r="AA360" s="100"/>
      <c r="AB360" s="61"/>
      <c r="AC360" s="61"/>
      <c r="AD360" s="61"/>
      <c r="AE360" s="61"/>
      <c r="AF360" s="61"/>
      <c r="AG360" s="64"/>
      <c r="AH360" s="40"/>
      <c r="AI360" s="64">
        <f t="shared" si="19"/>
        <v>0</v>
      </c>
      <c r="AJ360" s="65"/>
      <c r="AK360" s="65"/>
      <c r="AL360" s="66"/>
      <c r="AM360" s="36">
        <f t="array" ref="AM360:AP360">AI360:AL360/4</f>
        <v>0</v>
      </c>
      <c r="AN360" s="65"/>
      <c r="AO360" s="65"/>
      <c r="AP360" s="66"/>
      <c r="AQ360" s="46"/>
    </row>
    <row r="361" ht="15.75" customHeight="1">
      <c r="A361" s="47"/>
      <c r="B361" s="78" t="s">
        <v>13</v>
      </c>
      <c r="C361" s="108"/>
      <c r="D361" s="49"/>
      <c r="E361" s="49"/>
      <c r="F361" s="49"/>
      <c r="G361" s="99"/>
      <c r="H361" s="99"/>
      <c r="I361" s="99"/>
      <c r="J361" s="99"/>
      <c r="K361" s="99"/>
      <c r="L361" s="99"/>
      <c r="M361" s="49"/>
      <c r="N361" s="49"/>
      <c r="O361" s="49"/>
      <c r="P361" s="99"/>
      <c r="Q361" s="99"/>
      <c r="R361" s="99"/>
      <c r="S361" s="99"/>
      <c r="T361" s="99"/>
      <c r="U361" s="99"/>
      <c r="V361" s="99"/>
      <c r="W361" s="99"/>
      <c r="X361" s="99"/>
      <c r="Y361" s="99"/>
      <c r="Z361" s="99"/>
      <c r="AA361" s="99"/>
      <c r="AB361" s="49"/>
      <c r="AC361" s="49"/>
      <c r="AD361" s="49"/>
      <c r="AE361" s="49"/>
      <c r="AF361" s="49"/>
      <c r="AG361" s="50"/>
      <c r="AH361" s="40"/>
      <c r="AI361" s="39">
        <f t="shared" si="19"/>
        <v>0</v>
      </c>
      <c r="AJ361" s="41"/>
      <c r="AK361" s="41"/>
      <c r="AL361" s="42"/>
      <c r="AM361" s="43">
        <f t="array" ref="AM361:AP361">AI361:AL361/4</f>
        <v>0</v>
      </c>
      <c r="AN361" s="44"/>
      <c r="AO361" s="44"/>
      <c r="AP361" s="45"/>
      <c r="AQ361" s="46"/>
    </row>
    <row r="362" ht="15.75" customHeight="1">
      <c r="A362" s="47"/>
      <c r="B362" s="78" t="s">
        <v>14</v>
      </c>
      <c r="C362" s="43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  <c r="AB362" s="49"/>
      <c r="AC362" s="49"/>
      <c r="AD362" s="49"/>
      <c r="AE362" s="49"/>
      <c r="AF362" s="49"/>
      <c r="AG362" s="50"/>
      <c r="AH362" s="40"/>
      <c r="AI362" s="39">
        <f t="shared" si="19"/>
        <v>0</v>
      </c>
      <c r="AJ362" s="41"/>
      <c r="AK362" s="41"/>
      <c r="AL362" s="42"/>
      <c r="AM362" s="43">
        <f t="array" ref="AM362:AP362">AI362:AL362/4</f>
        <v>0</v>
      </c>
      <c r="AN362" s="44"/>
      <c r="AO362" s="44"/>
      <c r="AP362" s="45"/>
      <c r="AQ362" s="46"/>
    </row>
    <row r="363" ht="15.75" customHeight="1">
      <c r="A363" s="47"/>
      <c r="B363" s="78"/>
      <c r="C363" s="43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  <c r="AB363" s="49"/>
      <c r="AC363" s="49"/>
      <c r="AD363" s="49"/>
      <c r="AE363" s="49"/>
      <c r="AF363" s="94"/>
      <c r="AG363" s="50"/>
      <c r="AH363" s="40"/>
      <c r="AI363" s="39">
        <f t="shared" si="19"/>
        <v>0</v>
      </c>
      <c r="AJ363" s="41"/>
      <c r="AK363" s="41"/>
      <c r="AL363" s="42"/>
      <c r="AM363" s="43">
        <f t="array" ref="AM363:AP363">AI363:AL363/4</f>
        <v>0</v>
      </c>
      <c r="AN363" s="44"/>
      <c r="AO363" s="44"/>
      <c r="AP363" s="45"/>
      <c r="AQ363" s="46"/>
    </row>
    <row r="364" ht="15.75" customHeight="1">
      <c r="A364" s="47"/>
      <c r="B364" s="78"/>
      <c r="C364" s="43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  <c r="AB364" s="49"/>
      <c r="AC364" s="49"/>
      <c r="AD364" s="49"/>
      <c r="AE364" s="49"/>
      <c r="AF364" s="94"/>
      <c r="AG364" s="50"/>
      <c r="AH364" s="40"/>
      <c r="AI364" s="39">
        <f t="shared" si="19"/>
        <v>0</v>
      </c>
      <c r="AJ364" s="41"/>
      <c r="AK364" s="41"/>
      <c r="AL364" s="42"/>
      <c r="AM364" s="43">
        <f t="array" ref="AM364:AP364">AI364:AL364/4</f>
        <v>0</v>
      </c>
      <c r="AN364" s="44"/>
      <c r="AO364" s="44"/>
      <c r="AP364" s="45"/>
      <c r="AQ364" s="46"/>
    </row>
    <row r="365" ht="15.75" customHeight="1">
      <c r="A365" s="30"/>
      <c r="B365" s="79" t="s">
        <v>15</v>
      </c>
      <c r="C365" s="69"/>
      <c r="D365" s="80"/>
      <c r="E365" s="80"/>
      <c r="F365" s="80"/>
      <c r="G365" s="80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  <c r="AA365" s="80"/>
      <c r="AB365" s="80"/>
      <c r="AC365" s="80"/>
      <c r="AD365" s="80"/>
      <c r="AE365" s="80"/>
      <c r="AF365" s="80"/>
      <c r="AG365" s="55"/>
      <c r="AH365" s="40"/>
      <c r="AI365" s="55">
        <f>SUM(AI349:AL363)</f>
        <v>0</v>
      </c>
      <c r="AJ365" s="56"/>
      <c r="AK365" s="56"/>
      <c r="AL365" s="57"/>
      <c r="AM365" s="43">
        <f t="array" ref="AM365:AP365">AI365:AL365/4</f>
        <v>0</v>
      </c>
      <c r="AN365" s="44"/>
      <c r="AO365" s="44"/>
      <c r="AP365" s="45"/>
      <c r="AQ365" s="46"/>
    </row>
    <row r="366" ht="15.75" customHeight="1">
      <c r="A366" s="4" t="s">
        <v>26</v>
      </c>
      <c r="B366" s="5"/>
      <c r="C366" s="6">
        <v>1.0</v>
      </c>
      <c r="D366" s="13">
        <v>2.0</v>
      </c>
      <c r="E366" s="14">
        <v>3.0</v>
      </c>
      <c r="F366" s="9">
        <v>4.0</v>
      </c>
      <c r="G366" s="9">
        <v>5.0</v>
      </c>
      <c r="H366" s="10">
        <v>6.0</v>
      </c>
      <c r="I366" s="11">
        <v>7.0</v>
      </c>
      <c r="J366" s="12">
        <v>8.0</v>
      </c>
      <c r="K366" s="13">
        <v>9.0</v>
      </c>
      <c r="L366" s="14">
        <v>10.0</v>
      </c>
      <c r="M366" s="9">
        <v>11.0</v>
      </c>
      <c r="N366" s="9">
        <v>12.0</v>
      </c>
      <c r="O366" s="10">
        <v>13.0</v>
      </c>
      <c r="P366" s="11">
        <v>14.0</v>
      </c>
      <c r="Q366" s="12">
        <v>15.0</v>
      </c>
      <c r="R366" s="11">
        <v>16.0</v>
      </c>
      <c r="S366" s="9">
        <v>17.0</v>
      </c>
      <c r="T366" s="9">
        <v>18.0</v>
      </c>
      <c r="U366" s="9">
        <v>19.0</v>
      </c>
      <c r="V366" s="15">
        <v>20.0</v>
      </c>
      <c r="W366" s="16">
        <v>21.0</v>
      </c>
      <c r="X366" s="17">
        <v>22.0</v>
      </c>
      <c r="Y366" s="7">
        <v>23.0</v>
      </c>
      <c r="Z366" s="8">
        <v>24.0</v>
      </c>
      <c r="AA366" s="8">
        <v>25.0</v>
      </c>
      <c r="AB366" s="8">
        <v>26.0</v>
      </c>
      <c r="AC366" s="15">
        <v>27.0</v>
      </c>
      <c r="AD366" s="16">
        <v>28.0</v>
      </c>
      <c r="AE366" s="10">
        <v>29.0</v>
      </c>
      <c r="AF366" s="16">
        <v>30.0</v>
      </c>
      <c r="AG366" s="97">
        <v>31.0</v>
      </c>
      <c r="AH366" s="21"/>
      <c r="AI366" s="22" t="s">
        <v>1</v>
      </c>
      <c r="AJ366" s="5"/>
      <c r="AK366" s="5"/>
      <c r="AL366" s="5"/>
      <c r="AM366" s="22" t="s">
        <v>2</v>
      </c>
      <c r="AN366" s="5"/>
      <c r="AO366" s="5"/>
      <c r="AP366" s="23"/>
      <c r="AQ366" s="46"/>
    </row>
    <row r="367" ht="15.75" customHeight="1">
      <c r="A367" s="25"/>
      <c r="B367" s="2"/>
      <c r="C367" s="26"/>
      <c r="D367" s="27"/>
      <c r="E367" s="28"/>
      <c r="F367" s="28"/>
      <c r="G367" s="28"/>
      <c r="H367" s="29"/>
      <c r="I367" s="30"/>
      <c r="J367" s="31"/>
      <c r="K367" s="27"/>
      <c r="L367" s="28"/>
      <c r="M367" s="28"/>
      <c r="N367" s="28"/>
      <c r="O367" s="29"/>
      <c r="P367" s="30"/>
      <c r="Q367" s="31"/>
      <c r="R367" s="30"/>
      <c r="S367" s="28"/>
      <c r="T367" s="28"/>
      <c r="U367" s="28"/>
      <c r="V367" s="29"/>
      <c r="W367" s="30"/>
      <c r="X367" s="31"/>
      <c r="Y367" s="27"/>
      <c r="Z367" s="28"/>
      <c r="AA367" s="28"/>
      <c r="AB367" s="28"/>
      <c r="AC367" s="29"/>
      <c r="AD367" s="30"/>
      <c r="AE367" s="29"/>
      <c r="AF367" s="30"/>
      <c r="AG367" s="98"/>
      <c r="AH367" s="21"/>
      <c r="AI367" s="25"/>
      <c r="AJ367" s="2"/>
      <c r="AK367" s="2"/>
      <c r="AL367" s="2"/>
      <c r="AM367" s="25"/>
      <c r="AN367" s="2"/>
      <c r="AO367" s="2"/>
      <c r="AP367" s="33"/>
      <c r="AQ367" s="46"/>
    </row>
    <row r="368" ht="15.75" customHeight="1">
      <c r="A368" s="34" t="s">
        <v>3</v>
      </c>
      <c r="B368" s="35" t="s">
        <v>4</v>
      </c>
      <c r="C368" s="36"/>
      <c r="D368" s="37"/>
      <c r="E368" s="106"/>
      <c r="F368" s="106"/>
      <c r="G368" s="106"/>
      <c r="H368" s="37"/>
      <c r="I368" s="37"/>
      <c r="J368" s="37"/>
      <c r="K368" s="37"/>
      <c r="L368" s="37"/>
      <c r="M368" s="106"/>
      <c r="N368" s="106"/>
      <c r="O368" s="106"/>
      <c r="P368" s="37"/>
      <c r="Q368" s="106"/>
      <c r="R368" s="106"/>
      <c r="S368" s="106"/>
      <c r="T368" s="37"/>
      <c r="U368" s="106"/>
      <c r="V368" s="106"/>
      <c r="W368" s="106"/>
      <c r="X368" s="37"/>
      <c r="Y368" s="106"/>
      <c r="Z368" s="106"/>
      <c r="AA368" s="106"/>
      <c r="AB368" s="37"/>
      <c r="AC368" s="37"/>
      <c r="AD368" s="37"/>
      <c r="AE368" s="37"/>
      <c r="AF368" s="113"/>
      <c r="AG368" s="39"/>
      <c r="AH368" s="40"/>
      <c r="AI368" s="39">
        <f t="shared" ref="AI368:AI384" si="20">SUM(C368:AG368)</f>
        <v>0</v>
      </c>
      <c r="AJ368" s="41"/>
      <c r="AK368" s="41"/>
      <c r="AL368" s="42"/>
      <c r="AM368" s="43">
        <f t="array" ref="AM368:AP368">AI368:AL368/4</f>
        <v>0</v>
      </c>
      <c r="AN368" s="44"/>
      <c r="AO368" s="44"/>
      <c r="AP368" s="45"/>
      <c r="AQ368" s="46"/>
    </row>
    <row r="369" ht="15.75" customHeight="1">
      <c r="A369" s="47"/>
      <c r="B369" s="48" t="s">
        <v>5</v>
      </c>
      <c r="C369" s="43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  <c r="AB369" s="49"/>
      <c r="AC369" s="49"/>
      <c r="AD369" s="49"/>
      <c r="AE369" s="49"/>
      <c r="AF369" s="94"/>
      <c r="AG369" s="50"/>
      <c r="AH369" s="40"/>
      <c r="AI369" s="39">
        <f t="shared" si="20"/>
        <v>0</v>
      </c>
      <c r="AJ369" s="41"/>
      <c r="AK369" s="41"/>
      <c r="AL369" s="42"/>
      <c r="AM369" s="43">
        <f t="array" ref="AM369:AP369">AI369:AL369/4</f>
        <v>0</v>
      </c>
      <c r="AN369" s="44"/>
      <c r="AO369" s="44"/>
      <c r="AP369" s="45"/>
      <c r="AQ369" s="46"/>
    </row>
    <row r="370" ht="15.75" customHeight="1">
      <c r="A370" s="47"/>
      <c r="B370" s="48" t="s">
        <v>6</v>
      </c>
      <c r="C370" s="43"/>
      <c r="D370" s="99"/>
      <c r="E370" s="99"/>
      <c r="F370" s="99"/>
      <c r="G370" s="99"/>
      <c r="H370" s="49"/>
      <c r="I370" s="49"/>
      <c r="J370" s="49"/>
      <c r="K370" s="49"/>
      <c r="L370" s="99"/>
      <c r="M370" s="99"/>
      <c r="N370" s="99"/>
      <c r="O370" s="99"/>
      <c r="P370" s="99"/>
      <c r="Q370" s="99"/>
      <c r="R370" s="99"/>
      <c r="S370" s="99"/>
      <c r="T370" s="99"/>
      <c r="U370" s="99"/>
      <c r="V370" s="99"/>
      <c r="W370" s="99"/>
      <c r="X370" s="49"/>
      <c r="Y370" s="99"/>
      <c r="Z370" s="99"/>
      <c r="AA370" s="49"/>
      <c r="AB370" s="49"/>
      <c r="AC370" s="49"/>
      <c r="AD370" s="49"/>
      <c r="AE370" s="49"/>
      <c r="AF370" s="94"/>
      <c r="AG370" s="115"/>
      <c r="AH370" s="40"/>
      <c r="AI370" s="39">
        <f t="shared" si="20"/>
        <v>0</v>
      </c>
      <c r="AJ370" s="41"/>
      <c r="AK370" s="41"/>
      <c r="AL370" s="42"/>
      <c r="AM370" s="43">
        <f t="array" ref="AM370:AP370">AI370:AL370/4</f>
        <v>0</v>
      </c>
      <c r="AN370" s="44"/>
      <c r="AO370" s="44"/>
      <c r="AP370" s="45"/>
      <c r="AQ370" s="46"/>
    </row>
    <row r="371" ht="15.75" customHeight="1">
      <c r="A371" s="47"/>
      <c r="B371" s="48" t="s">
        <v>7</v>
      </c>
      <c r="C371" s="43"/>
      <c r="D371" s="99"/>
      <c r="E371" s="99"/>
      <c r="F371" s="99"/>
      <c r="G371" s="99"/>
      <c r="H371" s="49"/>
      <c r="I371" s="49"/>
      <c r="J371" s="49"/>
      <c r="K371" s="49"/>
      <c r="L371" s="99"/>
      <c r="M371" s="99"/>
      <c r="N371" s="99"/>
      <c r="O371" s="99"/>
      <c r="P371" s="99"/>
      <c r="Q371" s="99"/>
      <c r="R371" s="99"/>
      <c r="S371" s="99"/>
      <c r="T371" s="99"/>
      <c r="U371" s="99"/>
      <c r="V371" s="99"/>
      <c r="W371" s="99"/>
      <c r="X371" s="99"/>
      <c r="Y371" s="99"/>
      <c r="Z371" s="99"/>
      <c r="AA371" s="49"/>
      <c r="AB371" s="49"/>
      <c r="AC371" s="49"/>
      <c r="AD371" s="49"/>
      <c r="AE371" s="49"/>
      <c r="AF371" s="49"/>
      <c r="AG371" s="115"/>
      <c r="AH371" s="40"/>
      <c r="AI371" s="39">
        <f t="shared" si="20"/>
        <v>0</v>
      </c>
      <c r="AJ371" s="41"/>
      <c r="AK371" s="41"/>
      <c r="AL371" s="42"/>
      <c r="AM371" s="43">
        <f t="array" ref="AM371:AP371">AI371:AL371/4</f>
        <v>0</v>
      </c>
      <c r="AN371" s="44"/>
      <c r="AO371" s="44"/>
      <c r="AP371" s="45"/>
      <c r="AQ371" s="46"/>
    </row>
    <row r="372" ht="15.75" customHeight="1">
      <c r="A372" s="47"/>
      <c r="B372" s="114" t="s">
        <v>25</v>
      </c>
      <c r="C372" s="52"/>
      <c r="D372" s="53"/>
      <c r="E372" s="53"/>
      <c r="F372" s="101"/>
      <c r="G372" s="101"/>
      <c r="H372" s="53"/>
      <c r="I372" s="53"/>
      <c r="J372" s="53"/>
      <c r="K372" s="53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53"/>
      <c r="AA372" s="53"/>
      <c r="AB372" s="53"/>
      <c r="AC372" s="53"/>
      <c r="AD372" s="53"/>
      <c r="AE372" s="53"/>
      <c r="AF372" s="53"/>
      <c r="AG372" s="55"/>
      <c r="AH372" s="40"/>
      <c r="AI372" s="39">
        <f t="shared" si="20"/>
        <v>0</v>
      </c>
      <c r="AJ372" s="41"/>
      <c r="AK372" s="41"/>
      <c r="AL372" s="42"/>
      <c r="AM372" s="43">
        <f t="array" ref="AM372:AP372">AI372:AL372/4</f>
        <v>0</v>
      </c>
      <c r="AN372" s="44"/>
      <c r="AO372" s="44"/>
      <c r="AP372" s="45"/>
      <c r="AQ372" s="46"/>
    </row>
    <row r="373" ht="15.75" customHeight="1">
      <c r="A373" s="47"/>
      <c r="B373" s="48"/>
      <c r="C373" s="52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5"/>
      <c r="AH373" s="40"/>
      <c r="AI373" s="39">
        <f t="shared" si="20"/>
        <v>0</v>
      </c>
      <c r="AJ373" s="41"/>
      <c r="AK373" s="41"/>
      <c r="AL373" s="42"/>
      <c r="AM373" s="43">
        <f t="array" ref="AM373:AP373">AI373:AL373/4</f>
        <v>0</v>
      </c>
      <c r="AN373" s="44"/>
      <c r="AO373" s="44"/>
      <c r="AP373" s="45"/>
      <c r="AQ373" s="46"/>
    </row>
    <row r="374" ht="15.75" customHeight="1">
      <c r="A374" s="47"/>
      <c r="B374" s="48"/>
      <c r="C374" s="52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  <c r="AG374" s="55"/>
      <c r="AH374" s="40"/>
      <c r="AI374" s="39">
        <f t="shared" si="20"/>
        <v>0</v>
      </c>
      <c r="AJ374" s="41"/>
      <c r="AK374" s="41"/>
      <c r="AL374" s="42"/>
      <c r="AM374" s="43">
        <f t="array" ref="AM374:AP374">AI374:AL374/4</f>
        <v>0</v>
      </c>
      <c r="AN374" s="44"/>
      <c r="AO374" s="44"/>
      <c r="AP374" s="45"/>
      <c r="AQ374" s="46"/>
    </row>
    <row r="375" ht="15.75" customHeight="1">
      <c r="A375" s="30"/>
      <c r="B375" s="48"/>
      <c r="C375" s="52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5"/>
      <c r="AH375" s="40"/>
      <c r="AI375" s="55">
        <f t="shared" si="20"/>
        <v>0</v>
      </c>
      <c r="AJ375" s="56"/>
      <c r="AK375" s="56"/>
      <c r="AL375" s="57"/>
      <c r="AM375" s="52">
        <f t="array" ref="AM375:AP375">AI375:AL375/4</f>
        <v>0</v>
      </c>
      <c r="AN375" s="56"/>
      <c r="AO375" s="56"/>
      <c r="AP375" s="57"/>
      <c r="AQ375" s="46"/>
    </row>
    <row r="376" ht="15.75" customHeight="1">
      <c r="A376" s="58" t="s">
        <v>8</v>
      </c>
      <c r="B376" s="59" t="s">
        <v>9</v>
      </c>
      <c r="C376" s="102"/>
      <c r="D376" s="100"/>
      <c r="E376" s="61"/>
      <c r="F376" s="61"/>
      <c r="G376" s="61"/>
      <c r="H376" s="100"/>
      <c r="I376" s="100"/>
      <c r="J376" s="100"/>
      <c r="K376" s="100"/>
      <c r="L376" s="100"/>
      <c r="M376" s="61"/>
      <c r="N376" s="61"/>
      <c r="O376" s="61"/>
      <c r="P376" s="61"/>
      <c r="Q376" s="62"/>
      <c r="R376" s="63"/>
      <c r="S376" s="61"/>
      <c r="T376" s="61"/>
      <c r="U376" s="61"/>
      <c r="V376" s="61"/>
      <c r="W376" s="61"/>
      <c r="X376" s="61"/>
      <c r="Y376" s="61"/>
      <c r="Z376" s="61"/>
      <c r="AA376" s="116"/>
      <c r="AB376" s="116"/>
      <c r="AC376" s="116"/>
      <c r="AD376" s="116"/>
      <c r="AE376" s="116"/>
      <c r="AF376" s="116"/>
      <c r="AG376" s="116"/>
      <c r="AH376" s="40"/>
      <c r="AI376" s="64">
        <f t="shared" si="20"/>
        <v>0</v>
      </c>
      <c r="AJ376" s="65"/>
      <c r="AK376" s="65"/>
      <c r="AL376" s="66"/>
      <c r="AM376" s="36">
        <f t="array" ref="AM376:AP376">AI376:AL376/4</f>
        <v>0</v>
      </c>
      <c r="AN376" s="65"/>
      <c r="AO376" s="65"/>
      <c r="AP376" s="66"/>
      <c r="AQ376" s="46"/>
    </row>
    <row r="377" ht="15.75" customHeight="1">
      <c r="A377" s="67"/>
      <c r="B377" s="68" t="s">
        <v>18</v>
      </c>
      <c r="C377" s="109"/>
      <c r="D377" s="101"/>
      <c r="E377" s="53"/>
      <c r="F377" s="53"/>
      <c r="G377" s="53"/>
      <c r="H377" s="101"/>
      <c r="I377" s="101"/>
      <c r="J377" s="101"/>
      <c r="K377" s="101"/>
      <c r="L377" s="101"/>
      <c r="M377" s="53"/>
      <c r="N377" s="53"/>
      <c r="O377" s="53"/>
      <c r="P377" s="53"/>
      <c r="Q377" s="88"/>
      <c r="R377" s="89"/>
      <c r="S377" s="53"/>
      <c r="T377" s="53"/>
      <c r="U377" s="53"/>
      <c r="V377" s="53"/>
      <c r="W377" s="53"/>
      <c r="X377" s="53"/>
      <c r="Y377" s="53"/>
      <c r="Z377" s="53"/>
      <c r="AA377" s="117"/>
      <c r="AB377" s="117"/>
      <c r="AC377" s="117"/>
      <c r="AD377" s="117"/>
      <c r="AE377" s="117"/>
      <c r="AF377" s="117"/>
      <c r="AG377" s="117"/>
      <c r="AH377" s="40"/>
      <c r="AI377" s="39">
        <f t="shared" si="20"/>
        <v>0</v>
      </c>
      <c r="AJ377" s="41"/>
      <c r="AK377" s="41"/>
      <c r="AL377" s="42"/>
      <c r="AM377" s="43">
        <f t="array" ref="AM377:AP377">AI377:AL377/4</f>
        <v>0</v>
      </c>
      <c r="AN377" s="44"/>
      <c r="AO377" s="44"/>
      <c r="AP377" s="45"/>
      <c r="AQ377" s="46"/>
    </row>
    <row r="378" ht="15.75" customHeight="1">
      <c r="A378" s="32"/>
      <c r="B378" s="68"/>
      <c r="C378" s="52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  <c r="AG378" s="55"/>
      <c r="AH378" s="40"/>
      <c r="AI378" s="55">
        <f t="shared" si="20"/>
        <v>0</v>
      </c>
      <c r="AJ378" s="56"/>
      <c r="AK378" s="56"/>
      <c r="AL378" s="57"/>
      <c r="AM378" s="40">
        <f t="array" ref="AM378:AP378">AI378:AL378/4</f>
        <v>0</v>
      </c>
      <c r="AP378" s="74"/>
      <c r="AQ378" s="46"/>
    </row>
    <row r="379" ht="15.75" customHeight="1">
      <c r="A379" s="75" t="s">
        <v>11</v>
      </c>
      <c r="B379" s="76" t="s">
        <v>12</v>
      </c>
      <c r="C379" s="36"/>
      <c r="D379" s="61"/>
      <c r="E379" s="61"/>
      <c r="F379" s="61"/>
      <c r="G379" s="61"/>
      <c r="H379" s="61"/>
      <c r="I379" s="61"/>
      <c r="J379" s="61"/>
      <c r="K379" s="61"/>
      <c r="L379" s="61"/>
      <c r="M379" s="100"/>
      <c r="N379" s="61"/>
      <c r="O379" s="61"/>
      <c r="P379" s="100"/>
      <c r="Q379" s="61"/>
      <c r="R379" s="100"/>
      <c r="S379" s="61"/>
      <c r="T379" s="100"/>
      <c r="U379" s="61"/>
      <c r="V379" s="100"/>
      <c r="W379" s="61"/>
      <c r="X379" s="100"/>
      <c r="Y379" s="61"/>
      <c r="Z379" s="61"/>
      <c r="AA379" s="61"/>
      <c r="AB379" s="61"/>
      <c r="AC379" s="61"/>
      <c r="AD379" s="61"/>
      <c r="AE379" s="61"/>
      <c r="AF379" s="61"/>
      <c r="AG379" s="64"/>
      <c r="AH379" s="40"/>
      <c r="AI379" s="64">
        <f t="shared" si="20"/>
        <v>0</v>
      </c>
      <c r="AJ379" s="65"/>
      <c r="AK379" s="65"/>
      <c r="AL379" s="66"/>
      <c r="AM379" s="36">
        <f t="array" ref="AM379:AP379">AI379:AL379/4</f>
        <v>0</v>
      </c>
      <c r="AN379" s="65"/>
      <c r="AO379" s="65"/>
      <c r="AP379" s="66"/>
      <c r="AQ379" s="46"/>
    </row>
    <row r="380" ht="15.75" customHeight="1">
      <c r="A380" s="47"/>
      <c r="B380" s="78" t="s">
        <v>13</v>
      </c>
      <c r="C380" s="43"/>
      <c r="D380" s="49"/>
      <c r="E380" s="99"/>
      <c r="F380" s="99"/>
      <c r="G380" s="99"/>
      <c r="H380" s="49"/>
      <c r="I380" s="49"/>
      <c r="J380" s="49"/>
      <c r="K380" s="49"/>
      <c r="L380" s="49"/>
      <c r="M380" s="99"/>
      <c r="N380" s="99"/>
      <c r="O380" s="99"/>
      <c r="P380" s="99"/>
      <c r="Q380" s="99"/>
      <c r="R380" s="99"/>
      <c r="S380" s="99"/>
      <c r="T380" s="99"/>
      <c r="U380" s="99"/>
      <c r="V380" s="99"/>
      <c r="W380" s="99"/>
      <c r="X380" s="99"/>
      <c r="Y380" s="99"/>
      <c r="Z380" s="99"/>
      <c r="AA380" s="49"/>
      <c r="AB380" s="49"/>
      <c r="AC380" s="49"/>
      <c r="AD380" s="49"/>
      <c r="AE380" s="49"/>
      <c r="AF380" s="49"/>
      <c r="AG380" s="50"/>
      <c r="AH380" s="40"/>
      <c r="AI380" s="39">
        <f t="shared" si="20"/>
        <v>0</v>
      </c>
      <c r="AJ380" s="41"/>
      <c r="AK380" s="41"/>
      <c r="AL380" s="42"/>
      <c r="AM380" s="43">
        <f t="array" ref="AM380:AP380">AI380:AL380/4</f>
        <v>0</v>
      </c>
      <c r="AN380" s="44"/>
      <c r="AO380" s="44"/>
      <c r="AP380" s="45"/>
      <c r="AQ380" s="46"/>
    </row>
    <row r="381" ht="15.75" customHeight="1">
      <c r="A381" s="47"/>
      <c r="B381" s="78" t="s">
        <v>14</v>
      </c>
      <c r="C381" s="43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  <c r="AB381" s="49"/>
      <c r="AC381" s="49"/>
      <c r="AD381" s="49"/>
      <c r="AE381" s="49"/>
      <c r="AF381" s="49"/>
      <c r="AG381" s="50"/>
      <c r="AH381" s="40"/>
      <c r="AI381" s="39">
        <f t="shared" si="20"/>
        <v>0</v>
      </c>
      <c r="AJ381" s="41"/>
      <c r="AK381" s="41"/>
      <c r="AL381" s="42"/>
      <c r="AM381" s="43">
        <f t="array" ref="AM381:AP381">AI381:AL381/4</f>
        <v>0</v>
      </c>
      <c r="AN381" s="44"/>
      <c r="AO381" s="44"/>
      <c r="AP381" s="45"/>
      <c r="AQ381" s="46"/>
    </row>
    <row r="382" ht="15.75" customHeight="1">
      <c r="A382" s="47"/>
      <c r="B382" s="78"/>
      <c r="C382" s="43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  <c r="AB382" s="49"/>
      <c r="AC382" s="49"/>
      <c r="AD382" s="49"/>
      <c r="AE382" s="49"/>
      <c r="AF382" s="94"/>
      <c r="AG382" s="50"/>
      <c r="AH382" s="40"/>
      <c r="AI382" s="39">
        <f t="shared" si="20"/>
        <v>0</v>
      </c>
      <c r="AJ382" s="41"/>
      <c r="AK382" s="41"/>
      <c r="AL382" s="42"/>
      <c r="AM382" s="43">
        <f t="array" ref="AM382:AP382">AI382:AL382/4</f>
        <v>0</v>
      </c>
      <c r="AN382" s="44"/>
      <c r="AO382" s="44"/>
      <c r="AP382" s="45"/>
      <c r="AQ382" s="46"/>
    </row>
    <row r="383" ht="15.75" customHeight="1">
      <c r="A383" s="47"/>
      <c r="B383" s="78"/>
      <c r="C383" s="43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  <c r="AB383" s="49"/>
      <c r="AC383" s="49"/>
      <c r="AD383" s="49"/>
      <c r="AE383" s="49"/>
      <c r="AF383" s="94"/>
      <c r="AG383" s="50"/>
      <c r="AH383" s="40"/>
      <c r="AI383" s="39">
        <f t="shared" si="20"/>
        <v>0</v>
      </c>
      <c r="AJ383" s="41"/>
      <c r="AK383" s="41"/>
      <c r="AL383" s="42"/>
      <c r="AM383" s="43">
        <f t="array" ref="AM383:AP383">AI383:AL383/4</f>
        <v>0</v>
      </c>
      <c r="AN383" s="44"/>
      <c r="AO383" s="44"/>
      <c r="AP383" s="45"/>
      <c r="AQ383" s="46"/>
    </row>
    <row r="384" ht="15.75" customHeight="1">
      <c r="A384" s="30"/>
      <c r="B384" s="79" t="s">
        <v>15</v>
      </c>
      <c r="C384" s="69"/>
      <c r="D384" s="80"/>
      <c r="E384" s="80"/>
      <c r="F384" s="80"/>
      <c r="G384" s="80"/>
      <c r="H384" s="80"/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  <c r="AA384" s="80"/>
      <c r="AB384" s="80"/>
      <c r="AC384" s="80"/>
      <c r="AD384" s="80"/>
      <c r="AE384" s="80"/>
      <c r="AF384" s="80"/>
      <c r="AG384" s="55"/>
      <c r="AH384" s="40"/>
      <c r="AI384" s="55">
        <f t="shared" si="20"/>
        <v>0</v>
      </c>
      <c r="AJ384" s="56"/>
      <c r="AK384" s="56"/>
      <c r="AL384" s="57"/>
      <c r="AM384" s="43">
        <f t="array" ref="AM384:AP384">AI384:AL384/4</f>
        <v>0</v>
      </c>
      <c r="AN384" s="44"/>
      <c r="AO384" s="44"/>
      <c r="AP384" s="45"/>
      <c r="AQ384" s="46"/>
    </row>
    <row r="385" ht="15.75" customHeight="1">
      <c r="A385" s="4" t="s">
        <v>27</v>
      </c>
      <c r="B385" s="5"/>
      <c r="C385" s="6"/>
      <c r="D385" s="13"/>
      <c r="E385" s="14"/>
      <c r="F385" s="9"/>
      <c r="G385" s="9"/>
      <c r="H385" s="10"/>
      <c r="I385" s="11"/>
      <c r="J385" s="12"/>
      <c r="K385" s="13"/>
      <c r="L385" s="14"/>
      <c r="M385" s="9"/>
      <c r="N385" s="9"/>
      <c r="O385" s="10"/>
      <c r="P385" s="11"/>
      <c r="Q385" s="12"/>
      <c r="R385" s="11"/>
      <c r="S385" s="9"/>
      <c r="T385" s="9"/>
      <c r="U385" s="9"/>
      <c r="V385" s="15"/>
      <c r="W385" s="16"/>
      <c r="X385" s="17"/>
      <c r="Y385" s="7"/>
      <c r="Z385" s="8"/>
      <c r="AA385" s="8"/>
      <c r="AB385" s="8"/>
      <c r="AC385" s="15"/>
      <c r="AD385" s="16"/>
      <c r="AE385" s="10"/>
      <c r="AF385" s="6"/>
      <c r="AG385" s="105"/>
      <c r="AH385" s="40"/>
      <c r="AI385" s="22" t="s">
        <v>1</v>
      </c>
      <c r="AJ385" s="5"/>
      <c r="AK385" s="5"/>
      <c r="AL385" s="5"/>
      <c r="AM385" s="22" t="s">
        <v>2</v>
      </c>
      <c r="AN385" s="5"/>
      <c r="AO385" s="5"/>
      <c r="AP385" s="23"/>
      <c r="AQ385" s="46"/>
    </row>
    <row r="386" ht="15.75" customHeight="1">
      <c r="A386" s="25"/>
      <c r="B386" s="2"/>
      <c r="C386" s="26"/>
      <c r="D386" s="27"/>
      <c r="E386" s="28"/>
      <c r="F386" s="28"/>
      <c r="G386" s="28"/>
      <c r="H386" s="29"/>
      <c r="I386" s="30"/>
      <c r="J386" s="31"/>
      <c r="K386" s="27"/>
      <c r="L386" s="28"/>
      <c r="M386" s="28"/>
      <c r="N386" s="28"/>
      <c r="O386" s="29"/>
      <c r="P386" s="30"/>
      <c r="Q386" s="31"/>
      <c r="R386" s="30"/>
      <c r="S386" s="28"/>
      <c r="T386" s="28"/>
      <c r="U386" s="28"/>
      <c r="V386" s="29"/>
      <c r="W386" s="30"/>
      <c r="X386" s="31"/>
      <c r="Y386" s="27"/>
      <c r="Z386" s="28"/>
      <c r="AA386" s="28"/>
      <c r="AB386" s="28"/>
      <c r="AC386" s="29"/>
      <c r="AD386" s="30"/>
      <c r="AE386" s="29"/>
      <c r="AF386" s="26"/>
      <c r="AH386" s="40"/>
      <c r="AI386" s="25"/>
      <c r="AJ386" s="2"/>
      <c r="AK386" s="2"/>
      <c r="AL386" s="2"/>
      <c r="AM386" s="25"/>
      <c r="AN386" s="2"/>
      <c r="AO386" s="2"/>
      <c r="AP386" s="33"/>
      <c r="AQ386" s="46"/>
    </row>
    <row r="387" ht="15.75" customHeight="1">
      <c r="A387" s="34" t="s">
        <v>3</v>
      </c>
      <c r="B387" s="35" t="s">
        <v>4</v>
      </c>
      <c r="C387" s="86"/>
      <c r="D387" s="87"/>
      <c r="E387" s="87"/>
      <c r="F387" s="118"/>
      <c r="G387" s="86"/>
      <c r="H387" s="87"/>
      <c r="I387" s="87"/>
      <c r="J387" s="86"/>
      <c r="K387" s="86"/>
      <c r="L387" s="87"/>
      <c r="M387" s="87"/>
      <c r="N387" s="87"/>
      <c r="O387" s="119"/>
      <c r="P387" s="120"/>
      <c r="Q387" s="87"/>
      <c r="R387" s="118"/>
      <c r="S387" s="86"/>
      <c r="T387" s="87"/>
      <c r="U387" s="87"/>
      <c r="V387" s="119"/>
      <c r="W387" s="87"/>
      <c r="X387" s="87"/>
      <c r="Y387" s="86"/>
      <c r="Z387" s="86"/>
      <c r="AA387" s="120"/>
      <c r="AB387" s="120"/>
      <c r="AC387" s="119"/>
      <c r="AD387" s="120"/>
      <c r="AE387" s="87"/>
      <c r="AF387" s="87"/>
      <c r="AH387" s="40"/>
      <c r="AI387" s="39">
        <f t="shared" ref="AI387:AI403" si="21">SUM(C387:AG387)</f>
        <v>0</v>
      </c>
      <c r="AJ387" s="41"/>
      <c r="AK387" s="41"/>
      <c r="AL387" s="42"/>
      <c r="AM387" s="43">
        <f t="array" ref="AM387:AP387">AI387:AL387/4</f>
        <v>0</v>
      </c>
      <c r="AN387" s="44"/>
      <c r="AO387" s="44"/>
      <c r="AP387" s="45"/>
      <c r="AQ387" s="46"/>
    </row>
    <row r="388" ht="15.75" customHeight="1">
      <c r="A388" s="47"/>
      <c r="B388" s="48" t="s">
        <v>5</v>
      </c>
      <c r="C388" s="43"/>
      <c r="D388" s="49"/>
      <c r="E388" s="49"/>
      <c r="F388" s="49"/>
      <c r="G388" s="49"/>
      <c r="H388" s="49"/>
      <c r="I388" s="99"/>
      <c r="J388" s="99"/>
      <c r="K388" s="9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99"/>
      <c r="AA388" s="49"/>
      <c r="AB388" s="49"/>
      <c r="AC388" s="49"/>
      <c r="AD388" s="49"/>
      <c r="AE388" s="49"/>
      <c r="AF388" s="49"/>
      <c r="AH388" s="40"/>
      <c r="AI388" s="39">
        <f t="shared" si="21"/>
        <v>0</v>
      </c>
      <c r="AJ388" s="41"/>
      <c r="AK388" s="41"/>
      <c r="AL388" s="42"/>
      <c r="AM388" s="43">
        <f t="array" ref="AM388:AP388">AI388:AL388/4</f>
        <v>0</v>
      </c>
      <c r="AN388" s="44"/>
      <c r="AO388" s="44"/>
      <c r="AP388" s="45"/>
      <c r="AQ388" s="46"/>
    </row>
    <row r="389" ht="15.75" customHeight="1">
      <c r="A389" s="47"/>
      <c r="B389" s="48" t="s">
        <v>6</v>
      </c>
      <c r="C389" s="108"/>
      <c r="D389" s="49"/>
      <c r="E389" s="99"/>
      <c r="F389" s="99"/>
      <c r="G389" s="99"/>
      <c r="H389" s="49"/>
      <c r="I389" s="99"/>
      <c r="J389" s="99"/>
      <c r="K389" s="49"/>
      <c r="L389" s="99"/>
      <c r="M389" s="99"/>
      <c r="N389" s="99"/>
      <c r="O389" s="99"/>
      <c r="P389" s="99"/>
      <c r="Q389" s="49"/>
      <c r="R389" s="49"/>
      <c r="S389" s="49"/>
      <c r="T389" s="49"/>
      <c r="U389" s="99"/>
      <c r="V389" s="99"/>
      <c r="W389" s="99"/>
      <c r="X389" s="99"/>
      <c r="Y389" s="49"/>
      <c r="Z389" s="99"/>
      <c r="AA389" s="99"/>
      <c r="AB389" s="99"/>
      <c r="AC389" s="99"/>
      <c r="AD389" s="99"/>
      <c r="AE389" s="99"/>
      <c r="AF389" s="99"/>
      <c r="AH389" s="40"/>
      <c r="AI389" s="39">
        <f t="shared" si="21"/>
        <v>0</v>
      </c>
      <c r="AJ389" s="41"/>
      <c r="AK389" s="41"/>
      <c r="AL389" s="42"/>
      <c r="AM389" s="43">
        <f t="array" ref="AM389:AP389">AI389:AL389/4</f>
        <v>0</v>
      </c>
      <c r="AN389" s="44"/>
      <c r="AO389" s="44"/>
      <c r="AP389" s="45"/>
      <c r="AQ389" s="46"/>
    </row>
    <row r="390" ht="15.75" customHeight="1">
      <c r="A390" s="47"/>
      <c r="B390" s="48" t="s">
        <v>7</v>
      </c>
      <c r="C390" s="108"/>
      <c r="D390" s="99"/>
      <c r="E390" s="49"/>
      <c r="F390" s="99"/>
      <c r="G390" s="99"/>
      <c r="H390" s="99"/>
      <c r="I390" s="49"/>
      <c r="J390" s="99"/>
      <c r="K390" s="99"/>
      <c r="L390" s="99"/>
      <c r="M390" s="49"/>
      <c r="N390" s="99"/>
      <c r="O390" s="99"/>
      <c r="P390" s="99"/>
      <c r="Q390" s="49"/>
      <c r="R390" s="49"/>
      <c r="S390" s="49"/>
      <c r="T390" s="49"/>
      <c r="U390" s="99"/>
      <c r="V390" s="99"/>
      <c r="W390" s="99"/>
      <c r="X390" s="99"/>
      <c r="Y390" s="99"/>
      <c r="Z390" s="99"/>
      <c r="AA390" s="99"/>
      <c r="AB390" s="99"/>
      <c r="AC390" s="99"/>
      <c r="AD390" s="99"/>
      <c r="AE390" s="99"/>
      <c r="AF390" s="49"/>
      <c r="AH390" s="40"/>
      <c r="AI390" s="39">
        <f t="shared" si="21"/>
        <v>0</v>
      </c>
      <c r="AJ390" s="41"/>
      <c r="AK390" s="41"/>
      <c r="AL390" s="42"/>
      <c r="AM390" s="43">
        <f t="array" ref="AM390:AP390">AI390:AL390/4</f>
        <v>0</v>
      </c>
      <c r="AN390" s="44"/>
      <c r="AO390" s="44"/>
      <c r="AP390" s="45"/>
      <c r="AQ390" s="46"/>
    </row>
    <row r="391" ht="15.75" customHeight="1">
      <c r="A391" s="47"/>
      <c r="B391" s="114" t="s">
        <v>25</v>
      </c>
      <c r="C391" s="109"/>
      <c r="D391" s="109"/>
      <c r="E391" s="109"/>
      <c r="F391" s="109"/>
      <c r="G391" s="109"/>
      <c r="H391" s="109"/>
      <c r="I391" s="49"/>
      <c r="J391" s="99"/>
      <c r="K391" s="99"/>
      <c r="L391" s="99"/>
      <c r="M391" s="99"/>
      <c r="N391" s="99"/>
      <c r="O391" s="99"/>
      <c r="P391" s="99"/>
      <c r="Q391" s="49"/>
      <c r="R391" s="49"/>
      <c r="S391" s="99"/>
      <c r="T391" s="99"/>
      <c r="U391" s="99"/>
      <c r="V391" s="99"/>
      <c r="W391" s="99"/>
      <c r="X391" s="99"/>
      <c r="Y391" s="99"/>
      <c r="Z391" s="99"/>
      <c r="AA391" s="99"/>
      <c r="AB391" s="99"/>
      <c r="AC391" s="99"/>
      <c r="AD391" s="99"/>
      <c r="AE391" s="49"/>
      <c r="AF391" s="99"/>
      <c r="AH391" s="40"/>
      <c r="AI391" s="39">
        <f t="shared" si="21"/>
        <v>0</v>
      </c>
      <c r="AJ391" s="41"/>
      <c r="AK391" s="41"/>
      <c r="AL391" s="42"/>
      <c r="AM391" s="43">
        <f t="array" ref="AM391:AP391">AI391:AL391/4</f>
        <v>0</v>
      </c>
      <c r="AN391" s="44"/>
      <c r="AO391" s="44"/>
      <c r="AP391" s="45"/>
      <c r="AQ391" s="46"/>
    </row>
    <row r="392" ht="15.75" customHeight="1">
      <c r="A392" s="47"/>
      <c r="B392" s="48"/>
      <c r="C392" s="52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101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H392" s="40"/>
      <c r="AI392" s="39">
        <f t="shared" si="21"/>
        <v>0</v>
      </c>
      <c r="AJ392" s="41"/>
      <c r="AK392" s="41"/>
      <c r="AL392" s="42"/>
      <c r="AM392" s="43">
        <f t="array" ref="AM392:AP392">AI392:AL392/4</f>
        <v>0</v>
      </c>
      <c r="AN392" s="44"/>
      <c r="AO392" s="44"/>
      <c r="AP392" s="45"/>
      <c r="AQ392" s="46"/>
    </row>
    <row r="393" ht="15.75" customHeight="1">
      <c r="A393" s="47"/>
      <c r="B393" s="48"/>
      <c r="C393" s="52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H393" s="40"/>
      <c r="AI393" s="39">
        <f t="shared" si="21"/>
        <v>0</v>
      </c>
      <c r="AJ393" s="41"/>
      <c r="AK393" s="41"/>
      <c r="AL393" s="42"/>
      <c r="AM393" s="43">
        <f t="array" ref="AM393:AP393">AI393:AL393/4</f>
        <v>0</v>
      </c>
      <c r="AN393" s="44"/>
      <c r="AO393" s="44"/>
      <c r="AP393" s="45"/>
      <c r="AQ393" s="46"/>
    </row>
    <row r="394" ht="15.75" customHeight="1">
      <c r="A394" s="30"/>
      <c r="B394" s="48"/>
      <c r="C394" s="52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H394" s="40"/>
      <c r="AI394" s="55">
        <f t="shared" si="21"/>
        <v>0</v>
      </c>
      <c r="AJ394" s="56"/>
      <c r="AK394" s="56"/>
      <c r="AL394" s="57"/>
      <c r="AM394" s="52">
        <f t="array" ref="AM394:AP394">AI394:AL394/4</f>
        <v>0</v>
      </c>
      <c r="AN394" s="56"/>
      <c r="AO394" s="56"/>
      <c r="AP394" s="57"/>
      <c r="AQ394" s="46"/>
    </row>
    <row r="395" ht="15.75" customHeight="1">
      <c r="A395" s="58" t="s">
        <v>8</v>
      </c>
      <c r="B395" s="59" t="s">
        <v>9</v>
      </c>
      <c r="C395" s="36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100"/>
      <c r="R395" s="100"/>
      <c r="S395" s="100"/>
      <c r="T395" s="100"/>
      <c r="U395" s="100"/>
      <c r="V395" s="61"/>
      <c r="W395" s="61"/>
      <c r="X395" s="61"/>
      <c r="Y395" s="61"/>
      <c r="Z395" s="61"/>
      <c r="AA395" s="61"/>
      <c r="AB395" s="61"/>
      <c r="AC395" s="61"/>
      <c r="AD395" s="61"/>
      <c r="AE395" s="100"/>
      <c r="AF395" s="100"/>
      <c r="AH395" s="40"/>
      <c r="AI395" s="64">
        <f t="shared" si="21"/>
        <v>0</v>
      </c>
      <c r="AJ395" s="65"/>
      <c r="AK395" s="65"/>
      <c r="AL395" s="66"/>
      <c r="AM395" s="36">
        <f t="array" ref="AM395:AP395">AI395:AL395/4</f>
        <v>0</v>
      </c>
      <c r="AN395" s="65"/>
      <c r="AO395" s="65"/>
      <c r="AP395" s="66"/>
      <c r="AQ395" s="46"/>
    </row>
    <row r="396" ht="15.75" customHeight="1">
      <c r="A396" s="67"/>
      <c r="B396" s="68" t="s">
        <v>18</v>
      </c>
      <c r="C396" s="52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101"/>
      <c r="R396" s="101"/>
      <c r="S396" s="101"/>
      <c r="T396" s="101"/>
      <c r="U396" s="101"/>
      <c r="V396" s="53"/>
      <c r="W396" s="53"/>
      <c r="X396" s="53"/>
      <c r="Y396" s="53"/>
      <c r="Z396" s="53"/>
      <c r="AA396" s="53"/>
      <c r="AB396" s="53"/>
      <c r="AC396" s="53"/>
      <c r="AD396" s="53"/>
      <c r="AE396" s="101"/>
      <c r="AF396" s="101"/>
      <c r="AH396" s="40"/>
      <c r="AI396" s="39">
        <f t="shared" si="21"/>
        <v>0</v>
      </c>
      <c r="AJ396" s="41"/>
      <c r="AK396" s="41"/>
      <c r="AL396" s="42"/>
      <c r="AM396" s="43">
        <f t="array" ref="AM396:AP396">AI396:AL396/4</f>
        <v>0</v>
      </c>
      <c r="AN396" s="44"/>
      <c r="AO396" s="44"/>
      <c r="AP396" s="45"/>
      <c r="AQ396" s="46"/>
    </row>
    <row r="397" ht="15.75" customHeight="1">
      <c r="A397" s="32"/>
      <c r="B397" s="68"/>
      <c r="C397" s="52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H397" s="40"/>
      <c r="AI397" s="55">
        <f t="shared" si="21"/>
        <v>0</v>
      </c>
      <c r="AJ397" s="56"/>
      <c r="AK397" s="56"/>
      <c r="AL397" s="57"/>
      <c r="AM397" s="40">
        <f t="array" ref="AM397:AP397">AI397:AL397/4</f>
        <v>0</v>
      </c>
      <c r="AP397" s="74"/>
      <c r="AQ397" s="46"/>
    </row>
    <row r="398" ht="15.75" customHeight="1">
      <c r="A398" s="75" t="s">
        <v>11</v>
      </c>
      <c r="B398" s="76" t="s">
        <v>12</v>
      </c>
      <c r="C398" s="102"/>
      <c r="D398" s="100"/>
      <c r="E398" s="61"/>
      <c r="F398" s="100"/>
      <c r="G398" s="61"/>
      <c r="H398" s="61"/>
      <c r="I398" s="100"/>
      <c r="J398" s="100"/>
      <c r="K398" s="61"/>
      <c r="L398" s="100"/>
      <c r="M398" s="61"/>
      <c r="N398" s="100"/>
      <c r="O398" s="61"/>
      <c r="P398" s="100"/>
      <c r="Q398" s="61"/>
      <c r="R398" s="61"/>
      <c r="S398" s="61"/>
      <c r="T398" s="61"/>
      <c r="U398" s="61"/>
      <c r="V398" s="100"/>
      <c r="W398" s="100"/>
      <c r="X398" s="100"/>
      <c r="Y398" s="100"/>
      <c r="Z398" s="100"/>
      <c r="AA398" s="100"/>
      <c r="AB398" s="100"/>
      <c r="AC398" s="100"/>
      <c r="AD398" s="100"/>
      <c r="AE398" s="100"/>
      <c r="AF398" s="100"/>
      <c r="AH398" s="40"/>
      <c r="AI398" s="64">
        <f t="shared" si="21"/>
        <v>0</v>
      </c>
      <c r="AJ398" s="65"/>
      <c r="AK398" s="65"/>
      <c r="AL398" s="66"/>
      <c r="AM398" s="36">
        <f t="array" ref="AM398:AP398">AI398:AL398/4</f>
        <v>0</v>
      </c>
      <c r="AN398" s="65"/>
      <c r="AO398" s="65"/>
      <c r="AP398" s="66"/>
      <c r="AQ398" s="46"/>
    </row>
    <row r="399" ht="15.75" customHeight="1">
      <c r="A399" s="47"/>
      <c r="B399" s="78" t="s">
        <v>13</v>
      </c>
      <c r="C399" s="108"/>
      <c r="D399" s="99"/>
      <c r="E399" s="99"/>
      <c r="F399" s="99"/>
      <c r="G399" s="99"/>
      <c r="H399" s="99"/>
      <c r="I399" s="99"/>
      <c r="J399" s="99"/>
      <c r="K399" s="99"/>
      <c r="L399" s="99"/>
      <c r="M399" s="99"/>
      <c r="N399" s="99"/>
      <c r="O399" s="99"/>
      <c r="P399" s="99"/>
      <c r="Q399" s="49"/>
      <c r="R399" s="49"/>
      <c r="S399" s="49"/>
      <c r="T399" s="49"/>
      <c r="U399" s="49"/>
      <c r="V399" s="99"/>
      <c r="W399" s="99"/>
      <c r="X399" s="99"/>
      <c r="Y399" s="99"/>
      <c r="Z399" s="49"/>
      <c r="AA399" s="99"/>
      <c r="AB399" s="99"/>
      <c r="AC399" s="99"/>
      <c r="AD399" s="99"/>
      <c r="AE399" s="49"/>
      <c r="AF399" s="49"/>
      <c r="AH399" s="40"/>
      <c r="AI399" s="39">
        <f t="shared" si="21"/>
        <v>0</v>
      </c>
      <c r="AJ399" s="41"/>
      <c r="AK399" s="41"/>
      <c r="AL399" s="42"/>
      <c r="AM399" s="43">
        <f t="array" ref="AM399:AP399">AI399:AL399/4</f>
        <v>0</v>
      </c>
      <c r="AN399" s="44"/>
      <c r="AO399" s="44"/>
      <c r="AP399" s="45"/>
      <c r="AQ399" s="46"/>
    </row>
    <row r="400" ht="15.75" customHeight="1">
      <c r="A400" s="47"/>
      <c r="B400" s="78" t="s">
        <v>14</v>
      </c>
      <c r="C400" s="43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  <c r="AC400" s="49"/>
      <c r="AD400" s="49"/>
      <c r="AE400" s="49"/>
      <c r="AF400" s="49"/>
      <c r="AH400" s="40"/>
      <c r="AI400" s="39">
        <f t="shared" si="21"/>
        <v>0</v>
      </c>
      <c r="AJ400" s="41"/>
      <c r="AK400" s="41"/>
      <c r="AL400" s="42"/>
      <c r="AM400" s="43">
        <f t="array" ref="AM400:AP400">AI400:AL400/4</f>
        <v>0</v>
      </c>
      <c r="AN400" s="44"/>
      <c r="AO400" s="44"/>
      <c r="AP400" s="45"/>
      <c r="AQ400" s="46"/>
    </row>
    <row r="401" ht="15.75" customHeight="1">
      <c r="A401" s="47"/>
      <c r="B401" s="78"/>
      <c r="C401" s="43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  <c r="AB401" s="49"/>
      <c r="AC401" s="49"/>
      <c r="AD401" s="49"/>
      <c r="AE401" s="49"/>
      <c r="AF401" s="49"/>
      <c r="AH401" s="40"/>
      <c r="AI401" s="39">
        <f t="shared" si="21"/>
        <v>0</v>
      </c>
      <c r="AJ401" s="41"/>
      <c r="AK401" s="41"/>
      <c r="AL401" s="42"/>
      <c r="AM401" s="43">
        <f t="array" ref="AM401:AP401">AI401:AL401/4</f>
        <v>0</v>
      </c>
      <c r="AN401" s="44"/>
      <c r="AO401" s="44"/>
      <c r="AP401" s="45"/>
      <c r="AQ401" s="46"/>
    </row>
    <row r="402" ht="15.75" customHeight="1">
      <c r="A402" s="47"/>
      <c r="B402" s="78"/>
      <c r="C402" s="43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  <c r="AC402" s="49"/>
      <c r="AD402" s="49"/>
      <c r="AE402" s="49"/>
      <c r="AF402" s="49"/>
      <c r="AH402" s="40"/>
      <c r="AI402" s="39">
        <f t="shared" si="21"/>
        <v>0</v>
      </c>
      <c r="AJ402" s="41"/>
      <c r="AK402" s="41"/>
      <c r="AL402" s="42"/>
      <c r="AM402" s="43">
        <f t="array" ref="AM402:AP402">AI402:AL402/4</f>
        <v>0</v>
      </c>
      <c r="AN402" s="44"/>
      <c r="AO402" s="44"/>
      <c r="AP402" s="45"/>
      <c r="AQ402" s="46"/>
    </row>
    <row r="403" ht="15.75" customHeight="1">
      <c r="A403" s="30"/>
      <c r="B403" s="79" t="s">
        <v>15</v>
      </c>
      <c r="C403" s="69"/>
      <c r="D403" s="103"/>
      <c r="E403" s="103"/>
      <c r="F403" s="103"/>
      <c r="G403" s="103"/>
      <c r="H403" s="103"/>
      <c r="I403" s="103"/>
      <c r="J403" s="103"/>
      <c r="K403" s="103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103"/>
      <c r="AA403" s="80"/>
      <c r="AB403" s="80"/>
      <c r="AC403" s="80"/>
      <c r="AD403" s="80"/>
      <c r="AE403" s="80"/>
      <c r="AF403" s="80"/>
      <c r="AG403" s="41"/>
      <c r="AH403" s="40"/>
      <c r="AI403" s="55">
        <f t="shared" si="21"/>
        <v>0</v>
      </c>
      <c r="AJ403" s="56"/>
      <c r="AK403" s="56"/>
      <c r="AL403" s="57"/>
      <c r="AM403" s="43">
        <f t="array" ref="AM403:AP403">AI403:AL403/4</f>
        <v>0</v>
      </c>
      <c r="AN403" s="44"/>
      <c r="AO403" s="44"/>
      <c r="AP403" s="45"/>
      <c r="AQ403" s="46"/>
    </row>
    <row r="404" ht="15.75" customHeight="1">
      <c r="A404" s="4" t="s">
        <v>29</v>
      </c>
      <c r="B404" s="5"/>
      <c r="C404" s="6">
        <v>1.0</v>
      </c>
      <c r="D404" s="13">
        <v>2.0</v>
      </c>
      <c r="E404" s="14">
        <v>3.0</v>
      </c>
      <c r="F404" s="9">
        <v>4.0</v>
      </c>
      <c r="G404" s="9">
        <v>5.0</v>
      </c>
      <c r="H404" s="10">
        <v>6.0</v>
      </c>
      <c r="I404" s="11">
        <v>7.0</v>
      </c>
      <c r="J404" s="12">
        <v>8.0</v>
      </c>
      <c r="K404" s="13">
        <v>9.0</v>
      </c>
      <c r="L404" s="14">
        <v>10.0</v>
      </c>
      <c r="M404" s="9">
        <v>11.0</v>
      </c>
      <c r="N404" s="9">
        <v>12.0</v>
      </c>
      <c r="O404" s="10">
        <v>13.0</v>
      </c>
      <c r="P404" s="11">
        <v>14.0</v>
      </c>
      <c r="Q404" s="12">
        <v>15.0</v>
      </c>
      <c r="R404" s="11">
        <v>16.0</v>
      </c>
      <c r="S404" s="9">
        <v>17.0</v>
      </c>
      <c r="T404" s="9">
        <v>18.0</v>
      </c>
      <c r="U404" s="9">
        <v>19.0</v>
      </c>
      <c r="V404" s="15">
        <v>20.0</v>
      </c>
      <c r="W404" s="16">
        <v>21.0</v>
      </c>
      <c r="X404" s="17">
        <v>22.0</v>
      </c>
      <c r="Y404" s="7">
        <v>23.0</v>
      </c>
      <c r="Z404" s="8">
        <v>24.0</v>
      </c>
      <c r="AA404" s="8">
        <v>25.0</v>
      </c>
      <c r="AB404" s="8">
        <v>26.0</v>
      </c>
      <c r="AC404" s="15">
        <v>27.0</v>
      </c>
      <c r="AD404" s="16">
        <v>28.0</v>
      </c>
      <c r="AE404" s="10">
        <v>29.0</v>
      </c>
      <c r="AF404" s="16">
        <v>30.0</v>
      </c>
      <c r="AG404" s="97">
        <v>31.0</v>
      </c>
      <c r="AH404" s="21"/>
      <c r="AI404" s="22" t="s">
        <v>1</v>
      </c>
      <c r="AJ404" s="5"/>
      <c r="AK404" s="5"/>
      <c r="AL404" s="5"/>
      <c r="AM404" s="22" t="s">
        <v>2</v>
      </c>
      <c r="AN404" s="5"/>
      <c r="AO404" s="5"/>
      <c r="AP404" s="23"/>
      <c r="AQ404" s="46"/>
    </row>
    <row r="405" ht="15.75" customHeight="1">
      <c r="A405" s="25"/>
      <c r="B405" s="2"/>
      <c r="C405" s="26"/>
      <c r="D405" s="27"/>
      <c r="E405" s="28"/>
      <c r="F405" s="28"/>
      <c r="G405" s="28"/>
      <c r="H405" s="29"/>
      <c r="I405" s="30"/>
      <c r="J405" s="31"/>
      <c r="K405" s="27"/>
      <c r="L405" s="28"/>
      <c r="M405" s="28"/>
      <c r="N405" s="28"/>
      <c r="O405" s="29"/>
      <c r="P405" s="30"/>
      <c r="Q405" s="31"/>
      <c r="R405" s="30"/>
      <c r="S405" s="28"/>
      <c r="T405" s="28"/>
      <c r="U405" s="28"/>
      <c r="V405" s="29"/>
      <c r="W405" s="30"/>
      <c r="X405" s="31"/>
      <c r="Y405" s="27"/>
      <c r="Z405" s="28"/>
      <c r="AA405" s="28"/>
      <c r="AB405" s="28"/>
      <c r="AC405" s="29"/>
      <c r="AD405" s="30"/>
      <c r="AE405" s="29"/>
      <c r="AF405" s="30"/>
      <c r="AG405" s="98"/>
      <c r="AH405" s="21">
        <f>SUM(AI387:AL403)</f>
        <v>0</v>
      </c>
      <c r="AI405" s="25"/>
      <c r="AJ405" s="2"/>
      <c r="AK405" s="2"/>
      <c r="AL405" s="2"/>
      <c r="AM405" s="25"/>
      <c r="AN405" s="2"/>
      <c r="AO405" s="2"/>
      <c r="AP405" s="33"/>
      <c r="AQ405" s="46"/>
    </row>
    <row r="406" ht="15.75" customHeight="1">
      <c r="A406" s="34" t="s">
        <v>3</v>
      </c>
      <c r="B406" s="35" t="s">
        <v>4</v>
      </c>
      <c r="C406" s="36"/>
      <c r="D406" s="37"/>
      <c r="E406" s="37"/>
      <c r="F406" s="37"/>
      <c r="G406" s="37"/>
      <c r="H406" s="37"/>
      <c r="I406" s="37"/>
      <c r="J406" s="37"/>
      <c r="K406" s="106"/>
      <c r="L406" s="106"/>
      <c r="M406" s="121"/>
      <c r="N406" s="122"/>
      <c r="O406" s="106"/>
      <c r="P406" s="106"/>
      <c r="Q406" s="106"/>
      <c r="R406" s="37"/>
      <c r="S406" s="106"/>
      <c r="T406" s="121"/>
      <c r="U406" s="121"/>
      <c r="V406" s="37"/>
      <c r="W406" s="106"/>
      <c r="X406" s="106"/>
      <c r="Y406" s="106"/>
      <c r="Z406" s="106"/>
      <c r="AA406" s="37"/>
      <c r="AB406" s="37"/>
      <c r="AC406" s="37"/>
      <c r="AD406" s="37"/>
      <c r="AE406" s="37"/>
      <c r="AF406" s="113"/>
      <c r="AG406" s="39"/>
      <c r="AH406" s="40"/>
      <c r="AI406" s="39">
        <f t="shared" ref="AI406:AI422" si="22">SUM(C406:AG406)</f>
        <v>0</v>
      </c>
      <c r="AJ406" s="41"/>
      <c r="AK406" s="41"/>
      <c r="AL406" s="42"/>
      <c r="AM406" s="43">
        <f t="array" ref="AM406:AP406">AI406:AL406/4</f>
        <v>0</v>
      </c>
      <c r="AN406" s="44"/>
      <c r="AO406" s="44"/>
      <c r="AP406" s="45"/>
      <c r="AQ406" s="46"/>
    </row>
    <row r="407" ht="15.75" customHeight="1">
      <c r="A407" s="47"/>
      <c r="B407" s="48" t="s">
        <v>5</v>
      </c>
      <c r="C407" s="43"/>
      <c r="D407" s="49"/>
      <c r="E407" s="49"/>
      <c r="F407" s="49"/>
      <c r="G407" s="49"/>
      <c r="H407" s="49"/>
      <c r="I407" s="49"/>
      <c r="J407" s="49"/>
      <c r="K407" s="49"/>
      <c r="L407" s="49"/>
      <c r="M407" s="123"/>
      <c r="N407" s="123"/>
      <c r="O407" s="49"/>
      <c r="P407" s="49"/>
      <c r="Q407" s="49"/>
      <c r="R407" s="49"/>
      <c r="S407" s="49"/>
      <c r="T407" s="123"/>
      <c r="U407" s="123"/>
      <c r="V407" s="49"/>
      <c r="W407" s="49"/>
      <c r="X407" s="49"/>
      <c r="Y407" s="49"/>
      <c r="Z407" s="49"/>
      <c r="AA407" s="49"/>
      <c r="AB407" s="49"/>
      <c r="AC407" s="49"/>
      <c r="AD407" s="49"/>
      <c r="AE407" s="49"/>
      <c r="AF407" s="94"/>
      <c r="AG407" s="50"/>
      <c r="AH407" s="40"/>
      <c r="AI407" s="39">
        <f t="shared" si="22"/>
        <v>0</v>
      </c>
      <c r="AJ407" s="41"/>
      <c r="AK407" s="41"/>
      <c r="AL407" s="42"/>
      <c r="AM407" s="43">
        <f t="array" ref="AM407:AP407">AI407:AL407/4</f>
        <v>0</v>
      </c>
      <c r="AN407" s="44"/>
      <c r="AO407" s="44"/>
      <c r="AP407" s="45"/>
      <c r="AQ407" s="46"/>
    </row>
    <row r="408" ht="15.75" customHeight="1">
      <c r="A408" s="47"/>
      <c r="B408" s="48" t="s">
        <v>6</v>
      </c>
      <c r="C408" s="43"/>
      <c r="D408" s="49"/>
      <c r="E408" s="49"/>
      <c r="F408" s="49"/>
      <c r="G408" s="49"/>
      <c r="H408" s="49"/>
      <c r="I408" s="49"/>
      <c r="J408" s="99"/>
      <c r="K408" s="99"/>
      <c r="L408" s="49"/>
      <c r="M408" s="124"/>
      <c r="N408" s="124"/>
      <c r="O408" s="49"/>
      <c r="P408" s="99"/>
      <c r="Q408" s="99"/>
      <c r="R408" s="49"/>
      <c r="S408" s="99"/>
      <c r="T408" s="124"/>
      <c r="U408" s="123"/>
      <c r="V408" s="99"/>
      <c r="W408" s="99"/>
      <c r="X408" s="99"/>
      <c r="Y408" s="99"/>
      <c r="Z408" s="49"/>
      <c r="AA408" s="49"/>
      <c r="AB408" s="49"/>
      <c r="AC408" s="49"/>
      <c r="AD408" s="49"/>
      <c r="AE408" s="49"/>
      <c r="AF408" s="94"/>
      <c r="AG408" s="50"/>
      <c r="AH408" s="40"/>
      <c r="AI408" s="39">
        <f t="shared" si="22"/>
        <v>0</v>
      </c>
      <c r="AJ408" s="41"/>
      <c r="AK408" s="41"/>
      <c r="AL408" s="42"/>
      <c r="AM408" s="43">
        <f t="array" ref="AM408:AP408">AI408:AL408/4</f>
        <v>0</v>
      </c>
      <c r="AN408" s="44"/>
      <c r="AO408" s="44"/>
      <c r="AP408" s="45"/>
      <c r="AQ408" s="46"/>
    </row>
    <row r="409" ht="15.75" customHeight="1">
      <c r="A409" s="47"/>
      <c r="B409" s="48" t="s">
        <v>7</v>
      </c>
      <c r="C409" s="43"/>
      <c r="D409" s="49"/>
      <c r="E409" s="49"/>
      <c r="F409" s="49"/>
      <c r="G409" s="49"/>
      <c r="H409" s="49"/>
      <c r="I409" s="49"/>
      <c r="J409" s="99"/>
      <c r="K409" s="99"/>
      <c r="L409" s="99"/>
      <c r="M409" s="124"/>
      <c r="N409" s="124"/>
      <c r="O409" s="99"/>
      <c r="P409" s="99"/>
      <c r="Q409" s="99"/>
      <c r="R409" s="99"/>
      <c r="S409" s="99"/>
      <c r="T409" s="124"/>
      <c r="U409" s="124"/>
      <c r="V409" s="99"/>
      <c r="W409" s="99"/>
      <c r="X409" s="99"/>
      <c r="Y409" s="99"/>
      <c r="Z409" s="49"/>
      <c r="AA409" s="49"/>
      <c r="AB409" s="49"/>
      <c r="AC409" s="49"/>
      <c r="AD409" s="49"/>
      <c r="AE409" s="49"/>
      <c r="AF409" s="49"/>
      <c r="AG409" s="50"/>
      <c r="AH409" s="40"/>
      <c r="AI409" s="39">
        <f t="shared" si="22"/>
        <v>0</v>
      </c>
      <c r="AJ409" s="41"/>
      <c r="AK409" s="41"/>
      <c r="AL409" s="42"/>
      <c r="AM409" s="43">
        <f t="array" ref="AM409:AP409">AI409:AL409/4</f>
        <v>0</v>
      </c>
      <c r="AN409" s="44"/>
      <c r="AO409" s="44"/>
      <c r="AP409" s="45"/>
      <c r="AQ409" s="46"/>
    </row>
    <row r="410" ht="15.75" customHeight="1">
      <c r="A410" s="47"/>
      <c r="B410" s="114" t="s">
        <v>25</v>
      </c>
      <c r="C410" s="52"/>
      <c r="D410" s="53"/>
      <c r="E410" s="53"/>
      <c r="F410" s="53"/>
      <c r="G410" s="53"/>
      <c r="H410" s="53"/>
      <c r="I410" s="53"/>
      <c r="J410" s="101"/>
      <c r="K410" s="101"/>
      <c r="L410" s="101"/>
      <c r="M410" s="125"/>
      <c r="N410" s="126"/>
      <c r="O410" s="101"/>
      <c r="P410" s="101"/>
      <c r="Q410" s="101"/>
      <c r="R410" s="101"/>
      <c r="S410" s="101"/>
      <c r="T410" s="126"/>
      <c r="U410" s="125"/>
      <c r="V410" s="53"/>
      <c r="W410" s="101"/>
      <c r="X410" s="101"/>
      <c r="Y410" s="53"/>
      <c r="Z410" s="53"/>
      <c r="AA410" s="53"/>
      <c r="AB410" s="53"/>
      <c r="AC410" s="53"/>
      <c r="AD410" s="53"/>
      <c r="AE410" s="53"/>
      <c r="AF410" s="53"/>
      <c r="AG410" s="55"/>
      <c r="AH410" s="40"/>
      <c r="AI410" s="39">
        <f t="shared" si="22"/>
        <v>0</v>
      </c>
      <c r="AJ410" s="41"/>
      <c r="AK410" s="41"/>
      <c r="AL410" s="42"/>
      <c r="AM410" s="43">
        <f t="array" ref="AM410:AP410">AI410:AL410/4</f>
        <v>0</v>
      </c>
      <c r="AN410" s="44"/>
      <c r="AO410" s="44"/>
      <c r="AP410" s="45"/>
      <c r="AQ410" s="46"/>
    </row>
    <row r="411" ht="15.75" customHeight="1">
      <c r="A411" s="47"/>
      <c r="B411" s="114" t="s">
        <v>30</v>
      </c>
      <c r="C411" s="52"/>
      <c r="D411" s="53"/>
      <c r="E411" s="53"/>
      <c r="F411" s="53"/>
      <c r="G411" s="53"/>
      <c r="H411" s="53"/>
      <c r="I411" s="53"/>
      <c r="J411" s="101"/>
      <c r="K411" s="101"/>
      <c r="L411" s="101"/>
      <c r="M411" s="125"/>
      <c r="N411" s="125"/>
      <c r="O411" s="101"/>
      <c r="P411" s="53"/>
      <c r="Q411" s="101"/>
      <c r="R411" s="101"/>
      <c r="S411" s="101"/>
      <c r="T411" s="125"/>
      <c r="U411" s="125"/>
      <c r="V411" s="101"/>
      <c r="W411" s="101"/>
      <c r="X411" s="101"/>
      <c r="Y411" s="101"/>
      <c r="Z411" s="53"/>
      <c r="AA411" s="53"/>
      <c r="AB411" s="53"/>
      <c r="AC411" s="53"/>
      <c r="AD411" s="53"/>
      <c r="AE411" s="53"/>
      <c r="AF411" s="53"/>
      <c r="AG411" s="55"/>
      <c r="AH411" s="40"/>
      <c r="AI411" s="39">
        <f t="shared" si="22"/>
        <v>0</v>
      </c>
      <c r="AJ411" s="41"/>
      <c r="AK411" s="41"/>
      <c r="AL411" s="42"/>
      <c r="AM411" s="43">
        <f t="array" ref="AM411:AP411">AI411:AL411/4</f>
        <v>0</v>
      </c>
      <c r="AN411" s="44"/>
      <c r="AO411" s="44"/>
      <c r="AP411" s="45"/>
      <c r="AQ411" s="46"/>
    </row>
    <row r="412" ht="15.75" customHeight="1">
      <c r="A412" s="47"/>
      <c r="B412" s="48"/>
      <c r="C412" s="52"/>
      <c r="D412" s="53"/>
      <c r="E412" s="53"/>
      <c r="F412" s="53"/>
      <c r="G412" s="53"/>
      <c r="H412" s="53"/>
      <c r="I412" s="53"/>
      <c r="J412" s="53"/>
      <c r="K412" s="53"/>
      <c r="L412" s="53"/>
      <c r="M412" s="126"/>
      <c r="N412" s="126"/>
      <c r="O412" s="53"/>
      <c r="P412" s="53"/>
      <c r="Q412" s="53"/>
      <c r="R412" s="53"/>
      <c r="S412" s="53"/>
      <c r="T412" s="126"/>
      <c r="U412" s="126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5"/>
      <c r="AH412" s="40"/>
      <c r="AI412" s="39">
        <f t="shared" si="22"/>
        <v>0</v>
      </c>
      <c r="AJ412" s="41"/>
      <c r="AK412" s="41"/>
      <c r="AL412" s="42"/>
      <c r="AM412" s="43">
        <f t="array" ref="AM412:AP412">AI412:AL412/4</f>
        <v>0</v>
      </c>
      <c r="AN412" s="44"/>
      <c r="AO412" s="44"/>
      <c r="AP412" s="45"/>
      <c r="AQ412" s="46"/>
    </row>
    <row r="413" ht="15.75" customHeight="1">
      <c r="A413" s="30"/>
      <c r="B413" s="48"/>
      <c r="C413" s="52"/>
      <c r="D413" s="53"/>
      <c r="E413" s="53"/>
      <c r="F413" s="53"/>
      <c r="G413" s="53"/>
      <c r="H413" s="53"/>
      <c r="I413" s="53"/>
      <c r="J413" s="53"/>
      <c r="K413" s="53"/>
      <c r="L413" s="53"/>
      <c r="M413" s="126"/>
      <c r="N413" s="126"/>
      <c r="O413" s="53"/>
      <c r="P413" s="53"/>
      <c r="Q413" s="53"/>
      <c r="R413" s="53"/>
      <c r="S413" s="53"/>
      <c r="T413" s="126"/>
      <c r="U413" s="126"/>
      <c r="V413" s="53"/>
      <c r="W413" s="53"/>
      <c r="X413" s="53"/>
      <c r="Y413" s="53"/>
      <c r="Z413" s="53"/>
      <c r="AA413" s="126"/>
      <c r="AB413" s="126"/>
      <c r="AC413" s="53"/>
      <c r="AD413" s="53"/>
      <c r="AE413" s="53"/>
      <c r="AF413" s="53"/>
      <c r="AG413" s="55"/>
      <c r="AH413" s="40"/>
      <c r="AI413" s="55">
        <f t="shared" si="22"/>
        <v>0</v>
      </c>
      <c r="AJ413" s="56"/>
      <c r="AK413" s="56"/>
      <c r="AL413" s="57"/>
      <c r="AM413" s="52">
        <f t="array" ref="AM413:AP413">AI413:AL413/4</f>
        <v>0</v>
      </c>
      <c r="AN413" s="56"/>
      <c r="AO413" s="56"/>
      <c r="AP413" s="57"/>
      <c r="AQ413" s="46"/>
    </row>
    <row r="414" ht="15.75" customHeight="1">
      <c r="A414" s="58" t="s">
        <v>8</v>
      </c>
      <c r="B414" s="59" t="s">
        <v>9</v>
      </c>
      <c r="C414" s="100"/>
      <c r="D414" s="100"/>
      <c r="E414" s="100"/>
      <c r="F414" s="127"/>
      <c r="G414" s="127"/>
      <c r="H414" s="100"/>
      <c r="I414" s="100"/>
      <c r="J414" s="100"/>
      <c r="K414" s="61"/>
      <c r="L414" s="61"/>
      <c r="M414" s="128"/>
      <c r="N414" s="128"/>
      <c r="O414" s="61"/>
      <c r="P414" s="61"/>
      <c r="Q414" s="62"/>
      <c r="R414" s="63"/>
      <c r="S414" s="61"/>
      <c r="T414" s="128"/>
      <c r="U414" s="128"/>
      <c r="V414" s="61"/>
      <c r="W414" s="61"/>
      <c r="X414" s="61"/>
      <c r="Y414" s="61"/>
      <c r="Z414" s="100"/>
      <c r="AA414" s="127"/>
      <c r="AB414" s="127"/>
      <c r="AC414" s="100"/>
      <c r="AD414" s="100"/>
      <c r="AE414" s="100"/>
      <c r="AF414" s="100"/>
      <c r="AG414" s="100"/>
      <c r="AH414" s="40"/>
      <c r="AI414" s="64">
        <f t="shared" si="22"/>
        <v>0</v>
      </c>
      <c r="AJ414" s="65"/>
      <c r="AK414" s="65"/>
      <c r="AL414" s="66"/>
      <c r="AM414" s="36">
        <f t="array" ref="AM414:AP414">AI414:AL414/4</f>
        <v>0</v>
      </c>
      <c r="AN414" s="65"/>
      <c r="AO414" s="65"/>
      <c r="AP414" s="66"/>
      <c r="AQ414" s="46"/>
    </row>
    <row r="415" ht="15.75" customHeight="1">
      <c r="A415" s="67"/>
      <c r="B415" s="68" t="s">
        <v>18</v>
      </c>
      <c r="C415" s="101"/>
      <c r="D415" s="101"/>
      <c r="E415" s="101"/>
      <c r="F415" s="125"/>
      <c r="G415" s="125"/>
      <c r="H415" s="101"/>
      <c r="I415" s="101"/>
      <c r="J415" s="101"/>
      <c r="K415" s="53"/>
      <c r="L415" s="53"/>
      <c r="M415" s="126"/>
      <c r="N415" s="126"/>
      <c r="O415" s="53"/>
      <c r="P415" s="53"/>
      <c r="Q415" s="88"/>
      <c r="R415" s="89"/>
      <c r="S415" s="101"/>
      <c r="T415" s="126"/>
      <c r="U415" s="126"/>
      <c r="V415" s="53"/>
      <c r="W415" s="53"/>
      <c r="X415" s="53"/>
      <c r="Y415" s="53"/>
      <c r="Z415" s="101"/>
      <c r="AA415" s="125"/>
      <c r="AB415" s="125"/>
      <c r="AC415" s="101"/>
      <c r="AD415" s="101"/>
      <c r="AE415" s="101"/>
      <c r="AF415" s="101"/>
      <c r="AG415" s="101"/>
      <c r="AH415" s="40"/>
      <c r="AI415" s="39">
        <f t="shared" si="22"/>
        <v>0</v>
      </c>
      <c r="AJ415" s="41"/>
      <c r="AK415" s="41"/>
      <c r="AL415" s="42"/>
      <c r="AM415" s="43">
        <f t="array" ref="AM415:AP415">AI415:AL415/4</f>
        <v>0</v>
      </c>
      <c r="AN415" s="44"/>
      <c r="AO415" s="44"/>
      <c r="AP415" s="45"/>
      <c r="AQ415" s="46"/>
    </row>
    <row r="416" ht="15.75" customHeight="1">
      <c r="A416" s="32"/>
      <c r="B416" s="68"/>
      <c r="C416" s="52"/>
      <c r="D416" s="53"/>
      <c r="E416" s="53"/>
      <c r="F416" s="126"/>
      <c r="G416" s="126"/>
      <c r="H416" s="53"/>
      <c r="I416" s="53"/>
      <c r="J416" s="53"/>
      <c r="K416" s="53"/>
      <c r="L416" s="53"/>
      <c r="M416" s="126"/>
      <c r="N416" s="126"/>
      <c r="O416" s="53"/>
      <c r="P416" s="53"/>
      <c r="Q416" s="53"/>
      <c r="R416" s="53"/>
      <c r="S416" s="53"/>
      <c r="T416" s="126"/>
      <c r="U416" s="126"/>
      <c r="V416" s="53"/>
      <c r="W416" s="53"/>
      <c r="X416" s="53"/>
      <c r="Y416" s="53"/>
      <c r="Z416" s="53"/>
      <c r="AA416" s="126"/>
      <c r="AB416" s="126"/>
      <c r="AC416" s="53"/>
      <c r="AD416" s="53"/>
      <c r="AE416" s="53"/>
      <c r="AF416" s="53"/>
      <c r="AG416" s="55"/>
      <c r="AH416" s="40"/>
      <c r="AI416" s="55">
        <f t="shared" si="22"/>
        <v>0</v>
      </c>
      <c r="AJ416" s="56"/>
      <c r="AK416" s="56"/>
      <c r="AL416" s="57"/>
      <c r="AM416" s="40">
        <f t="array" ref="AM416:AP416">AI416:AL416/4</f>
        <v>0</v>
      </c>
      <c r="AP416" s="74"/>
      <c r="AQ416" s="46"/>
    </row>
    <row r="417" ht="15.75" customHeight="1">
      <c r="A417" s="75" t="s">
        <v>11</v>
      </c>
      <c r="B417" s="76" t="s">
        <v>12</v>
      </c>
      <c r="C417" s="36"/>
      <c r="D417" s="61"/>
      <c r="E417" s="61"/>
      <c r="F417" s="61"/>
      <c r="G417" s="61"/>
      <c r="H417" s="61"/>
      <c r="I417" s="61"/>
      <c r="J417" s="100"/>
      <c r="K417" s="100"/>
      <c r="L417" s="61"/>
      <c r="M417" s="128"/>
      <c r="N417" s="127"/>
      <c r="O417" s="61"/>
      <c r="P417" s="100"/>
      <c r="Q417" s="100"/>
      <c r="R417" s="100"/>
      <c r="S417" s="100"/>
      <c r="T417" s="127"/>
      <c r="U417" s="127"/>
      <c r="V417" s="100"/>
      <c r="W417" s="61"/>
      <c r="X417" s="100"/>
      <c r="Y417" s="61"/>
      <c r="Z417" s="100"/>
      <c r="AA417" s="128"/>
      <c r="AB417" s="128"/>
      <c r="AC417" s="61"/>
      <c r="AD417" s="61"/>
      <c r="AE417" s="61"/>
      <c r="AF417" s="61"/>
      <c r="AG417" s="64"/>
      <c r="AH417" s="40"/>
      <c r="AI417" s="64">
        <f t="shared" si="22"/>
        <v>0</v>
      </c>
      <c r="AJ417" s="65"/>
      <c r="AK417" s="65"/>
      <c r="AL417" s="66"/>
      <c r="AM417" s="36">
        <f t="array" ref="AM417:AP417">AI417:AL417/4</f>
        <v>0</v>
      </c>
      <c r="AN417" s="65"/>
      <c r="AO417" s="65"/>
      <c r="AP417" s="66"/>
      <c r="AQ417" s="46"/>
    </row>
    <row r="418" ht="15.75" customHeight="1">
      <c r="A418" s="47"/>
      <c r="B418" s="78" t="s">
        <v>13</v>
      </c>
      <c r="C418" s="43"/>
      <c r="D418" s="49"/>
      <c r="E418" s="49"/>
      <c r="F418" s="49"/>
      <c r="G418" s="49"/>
      <c r="H418" s="49"/>
      <c r="I418" s="49"/>
      <c r="J418" s="49"/>
      <c r="K418" s="99"/>
      <c r="L418" s="99"/>
      <c r="M418" s="124"/>
      <c r="N418" s="124"/>
      <c r="O418" s="99"/>
      <c r="P418" s="49"/>
      <c r="Q418" s="99"/>
      <c r="R418" s="99"/>
      <c r="S418" s="99"/>
      <c r="T418" s="124"/>
      <c r="U418" s="124"/>
      <c r="V418" s="99"/>
      <c r="W418" s="49"/>
      <c r="X418" s="99"/>
      <c r="Y418" s="99"/>
      <c r="Z418" s="49"/>
      <c r="AA418" s="123"/>
      <c r="AB418" s="123"/>
      <c r="AC418" s="49"/>
      <c r="AD418" s="49"/>
      <c r="AE418" s="49"/>
      <c r="AF418" s="49"/>
      <c r="AG418" s="50"/>
      <c r="AH418" s="40"/>
      <c r="AI418" s="39">
        <f t="shared" si="22"/>
        <v>0</v>
      </c>
      <c r="AJ418" s="41"/>
      <c r="AK418" s="41"/>
      <c r="AL418" s="42"/>
      <c r="AM418" s="43">
        <f t="array" ref="AM418:AP418">AI418:AL418/4</f>
        <v>0</v>
      </c>
      <c r="AN418" s="44"/>
      <c r="AO418" s="44"/>
      <c r="AP418" s="45"/>
      <c r="AQ418" s="46"/>
    </row>
    <row r="419" ht="15.75" customHeight="1">
      <c r="A419" s="47"/>
      <c r="B419" s="78" t="s">
        <v>14</v>
      </c>
      <c r="C419" s="43"/>
      <c r="D419" s="49"/>
      <c r="E419" s="49"/>
      <c r="F419" s="49"/>
      <c r="G419" s="49"/>
      <c r="H419" s="49"/>
      <c r="I419" s="49"/>
      <c r="J419" s="49"/>
      <c r="K419" s="49"/>
      <c r="L419" s="49"/>
      <c r="M419" s="123"/>
      <c r="N419" s="123"/>
      <c r="O419" s="49"/>
      <c r="P419" s="49"/>
      <c r="Q419" s="49"/>
      <c r="R419" s="49"/>
      <c r="S419" s="49"/>
      <c r="T419" s="123"/>
      <c r="U419" s="123"/>
      <c r="V419" s="49"/>
      <c r="W419" s="49"/>
      <c r="X419" s="49"/>
      <c r="Y419" s="49"/>
      <c r="Z419" s="49"/>
      <c r="AA419" s="123"/>
      <c r="AB419" s="123"/>
      <c r="AC419" s="49"/>
      <c r="AD419" s="49"/>
      <c r="AE419" s="49"/>
      <c r="AF419" s="49"/>
      <c r="AG419" s="50"/>
      <c r="AH419" s="40"/>
      <c r="AI419" s="39">
        <f t="shared" si="22"/>
        <v>0</v>
      </c>
      <c r="AJ419" s="41"/>
      <c r="AK419" s="41"/>
      <c r="AL419" s="42"/>
      <c r="AM419" s="43">
        <f t="array" ref="AM419:AP419">AI419:AL419/4</f>
        <v>0</v>
      </c>
      <c r="AN419" s="44"/>
      <c r="AO419" s="44"/>
      <c r="AP419" s="45"/>
      <c r="AQ419" s="46"/>
    </row>
    <row r="420" ht="15.75" customHeight="1">
      <c r="A420" s="47"/>
      <c r="B420" s="78"/>
      <c r="C420" s="43"/>
      <c r="D420" s="49"/>
      <c r="E420" s="49"/>
      <c r="F420" s="49"/>
      <c r="G420" s="49"/>
      <c r="H420" s="49"/>
      <c r="I420" s="49"/>
      <c r="J420" s="49"/>
      <c r="K420" s="49"/>
      <c r="L420" s="49"/>
      <c r="M420" s="123"/>
      <c r="N420" s="123"/>
      <c r="O420" s="49"/>
      <c r="P420" s="49"/>
      <c r="Q420" s="49"/>
      <c r="R420" s="49"/>
      <c r="S420" s="49"/>
      <c r="T420" s="123"/>
      <c r="U420" s="123"/>
      <c r="V420" s="49"/>
      <c r="W420" s="49"/>
      <c r="X420" s="49"/>
      <c r="Y420" s="49"/>
      <c r="Z420" s="49"/>
      <c r="AA420" s="49"/>
      <c r="AB420" s="49"/>
      <c r="AC420" s="49"/>
      <c r="AD420" s="49"/>
      <c r="AE420" s="49"/>
      <c r="AF420" s="94"/>
      <c r="AG420" s="50"/>
      <c r="AH420" s="40"/>
      <c r="AI420" s="39">
        <f t="shared" si="22"/>
        <v>0</v>
      </c>
      <c r="AJ420" s="41"/>
      <c r="AK420" s="41"/>
      <c r="AL420" s="42"/>
      <c r="AM420" s="43">
        <f t="array" ref="AM420:AP420">AI420:AL420/4</f>
        <v>0</v>
      </c>
      <c r="AN420" s="44"/>
      <c r="AO420" s="44"/>
      <c r="AP420" s="45"/>
      <c r="AQ420" s="46"/>
    </row>
    <row r="421" ht="15.75" customHeight="1">
      <c r="A421" s="47"/>
      <c r="B421" s="78"/>
      <c r="C421" s="43"/>
      <c r="D421" s="49"/>
      <c r="E421" s="49"/>
      <c r="F421" s="49"/>
      <c r="G421" s="49"/>
      <c r="H421" s="49"/>
      <c r="I421" s="49"/>
      <c r="J421" s="49"/>
      <c r="K421" s="49"/>
      <c r="L421" s="49"/>
      <c r="M421" s="123"/>
      <c r="N421" s="123"/>
      <c r="O421" s="49"/>
      <c r="P421" s="49"/>
      <c r="Q421" s="49"/>
      <c r="R421" s="49"/>
      <c r="S421" s="49"/>
      <c r="T421" s="123"/>
      <c r="U421" s="123"/>
      <c r="V421" s="49"/>
      <c r="W421" s="49"/>
      <c r="X421" s="49"/>
      <c r="Y421" s="49"/>
      <c r="Z421" s="49"/>
      <c r="AA421" s="49"/>
      <c r="AB421" s="49"/>
      <c r="AC421" s="49"/>
      <c r="AD421" s="49"/>
      <c r="AE421" s="49"/>
      <c r="AF421" s="94"/>
      <c r="AG421" s="50"/>
      <c r="AH421" s="40"/>
      <c r="AI421" s="39">
        <f t="shared" si="22"/>
        <v>0</v>
      </c>
      <c r="AJ421" s="41"/>
      <c r="AK421" s="41"/>
      <c r="AL421" s="42"/>
      <c r="AM421" s="43">
        <f t="array" ref="AM421:AP421">AI421:AL421/4</f>
        <v>0</v>
      </c>
      <c r="AN421" s="44"/>
      <c r="AO421" s="44"/>
      <c r="AP421" s="45"/>
      <c r="AQ421" s="46"/>
    </row>
    <row r="422" ht="15.75" customHeight="1">
      <c r="A422" s="30"/>
      <c r="B422" s="79" t="s">
        <v>15</v>
      </c>
      <c r="C422" s="69"/>
      <c r="D422" s="80"/>
      <c r="E422" s="80"/>
      <c r="F422" s="80"/>
      <c r="G422" s="80"/>
      <c r="H422" s="80"/>
      <c r="I422" s="80"/>
      <c r="J422" s="80"/>
      <c r="K422" s="80"/>
      <c r="L422" s="103"/>
      <c r="M422" s="103"/>
      <c r="N422" s="103"/>
      <c r="O422" s="103"/>
      <c r="P422" s="80"/>
      <c r="Q422" s="103"/>
      <c r="R422" s="103"/>
      <c r="S422" s="103"/>
      <c r="T422" s="129"/>
      <c r="U422" s="129"/>
      <c r="V422" s="103"/>
      <c r="W422" s="103"/>
      <c r="X422" s="80"/>
      <c r="Y422" s="103"/>
      <c r="Z422" s="80"/>
      <c r="AA422" s="80"/>
      <c r="AB422" s="80"/>
      <c r="AC422" s="80"/>
      <c r="AD422" s="80"/>
      <c r="AE422" s="80"/>
      <c r="AF422" s="80"/>
      <c r="AG422" s="55"/>
      <c r="AH422" s="40">
        <f>SUM(AI406:AL422)</f>
        <v>0</v>
      </c>
      <c r="AI422" s="55">
        <f t="shared" si="22"/>
        <v>0</v>
      </c>
      <c r="AJ422" s="56"/>
      <c r="AK422" s="56"/>
      <c r="AL422" s="57"/>
      <c r="AM422" s="43">
        <f t="array" ref="AM422:AP422">AI422:AL422/4</f>
        <v>0</v>
      </c>
      <c r="AN422" s="44"/>
      <c r="AO422" s="44"/>
      <c r="AP422" s="45"/>
      <c r="AQ422" s="46"/>
    </row>
    <row r="423" ht="15.75" customHeight="1">
      <c r="A423" s="4" t="s">
        <v>31</v>
      </c>
      <c r="B423" s="5"/>
      <c r="C423" s="6">
        <v>1.0</v>
      </c>
      <c r="D423" s="13">
        <v>2.0</v>
      </c>
      <c r="E423" s="14">
        <v>3.0</v>
      </c>
      <c r="F423" s="9">
        <v>4.0</v>
      </c>
      <c r="G423" s="9">
        <v>5.0</v>
      </c>
      <c r="H423" s="10">
        <v>6.0</v>
      </c>
      <c r="I423" s="11">
        <v>7.0</v>
      </c>
      <c r="J423" s="12">
        <v>8.0</v>
      </c>
      <c r="K423" s="13">
        <v>9.0</v>
      </c>
      <c r="L423" s="14">
        <v>10.0</v>
      </c>
      <c r="M423" s="9">
        <v>11.0</v>
      </c>
      <c r="N423" s="9">
        <v>12.0</v>
      </c>
      <c r="O423" s="10">
        <v>13.0</v>
      </c>
      <c r="P423" s="11">
        <v>14.0</v>
      </c>
      <c r="Q423" s="12">
        <v>15.0</v>
      </c>
      <c r="R423" s="11">
        <v>16.0</v>
      </c>
      <c r="S423" s="9">
        <v>17.0</v>
      </c>
      <c r="T423" s="9">
        <v>18.0</v>
      </c>
      <c r="U423" s="9">
        <v>19.0</v>
      </c>
      <c r="V423" s="15">
        <v>20.0</v>
      </c>
      <c r="W423" s="16">
        <v>21.0</v>
      </c>
      <c r="X423" s="17">
        <v>22.0</v>
      </c>
      <c r="Y423" s="7">
        <v>23.0</v>
      </c>
      <c r="Z423" s="8">
        <v>24.0</v>
      </c>
      <c r="AA423" s="8">
        <v>25.0</v>
      </c>
      <c r="AB423" s="8">
        <v>26.0</v>
      </c>
      <c r="AC423" s="15">
        <v>27.0</v>
      </c>
      <c r="AD423" s="16">
        <v>28.0</v>
      </c>
      <c r="AE423" s="8">
        <v>29.0</v>
      </c>
      <c r="AF423" s="9">
        <v>30.0</v>
      </c>
      <c r="AG423" s="105"/>
      <c r="AH423" s="40"/>
      <c r="AI423" s="22" t="s">
        <v>1</v>
      </c>
      <c r="AJ423" s="5"/>
      <c r="AK423" s="5"/>
      <c r="AL423" s="5"/>
      <c r="AM423" s="22" t="s">
        <v>2</v>
      </c>
      <c r="AN423" s="5"/>
      <c r="AO423" s="5"/>
      <c r="AP423" s="23"/>
      <c r="AQ423" s="46"/>
    </row>
    <row r="424" ht="15.75" customHeight="1">
      <c r="A424" s="25"/>
      <c r="B424" s="2"/>
      <c r="C424" s="26"/>
      <c r="D424" s="27"/>
      <c r="E424" s="28"/>
      <c r="F424" s="28"/>
      <c r="G424" s="28"/>
      <c r="H424" s="29"/>
      <c r="I424" s="30"/>
      <c r="J424" s="31"/>
      <c r="K424" s="27"/>
      <c r="L424" s="28"/>
      <c r="M424" s="28"/>
      <c r="N424" s="28"/>
      <c r="O424" s="29"/>
      <c r="P424" s="30"/>
      <c r="Q424" s="31"/>
      <c r="R424" s="30"/>
      <c r="S424" s="28"/>
      <c r="T424" s="28"/>
      <c r="U424" s="28"/>
      <c r="V424" s="29"/>
      <c r="W424" s="30"/>
      <c r="X424" s="31"/>
      <c r="Y424" s="27"/>
      <c r="Z424" s="28"/>
      <c r="AA424" s="28"/>
      <c r="AB424" s="28"/>
      <c r="AC424" s="29"/>
      <c r="AD424" s="30"/>
      <c r="AE424" s="28"/>
      <c r="AF424" s="28"/>
      <c r="AH424" s="40"/>
      <c r="AI424" s="25"/>
      <c r="AJ424" s="2"/>
      <c r="AK424" s="2"/>
      <c r="AL424" s="2"/>
      <c r="AM424" s="25"/>
      <c r="AN424" s="2"/>
      <c r="AO424" s="2"/>
      <c r="AP424" s="33"/>
      <c r="AQ424" s="46"/>
    </row>
    <row r="425" ht="15.75" customHeight="1">
      <c r="A425" s="34" t="s">
        <v>3</v>
      </c>
      <c r="B425" s="35" t="s">
        <v>4</v>
      </c>
      <c r="C425" s="36"/>
      <c r="D425" s="37"/>
      <c r="E425" s="37"/>
      <c r="F425" s="37"/>
      <c r="G425" s="37"/>
      <c r="H425" s="106"/>
      <c r="I425" s="106"/>
      <c r="J425" s="106"/>
      <c r="K425" s="37"/>
      <c r="L425" s="106"/>
      <c r="M425" s="106"/>
      <c r="N425" s="106"/>
      <c r="O425" s="37"/>
      <c r="P425" s="106"/>
      <c r="Q425" s="106"/>
      <c r="R425" s="106"/>
      <c r="S425" s="37"/>
      <c r="T425" s="106"/>
      <c r="U425" s="106"/>
      <c r="V425" s="106"/>
      <c r="W425" s="37"/>
      <c r="X425" s="37"/>
      <c r="Y425" s="37"/>
      <c r="Z425" s="37"/>
      <c r="AA425" s="106"/>
      <c r="AB425" s="106"/>
      <c r="AC425" s="106"/>
      <c r="AD425" s="106"/>
      <c r="AE425" s="106"/>
      <c r="AF425" s="106"/>
      <c r="AH425" s="40"/>
      <c r="AI425" s="39">
        <f t="shared" ref="AI425:AI441" si="23">SUM(C425:AG425)</f>
        <v>0</v>
      </c>
      <c r="AJ425" s="41"/>
      <c r="AK425" s="41"/>
      <c r="AL425" s="42"/>
      <c r="AM425" s="43">
        <f t="array" ref="AM425:AP425">AI425:AL425/4</f>
        <v>0</v>
      </c>
      <c r="AN425" s="44"/>
      <c r="AO425" s="44"/>
      <c r="AP425" s="45"/>
      <c r="AQ425" s="46"/>
    </row>
    <row r="426" ht="15.75" customHeight="1">
      <c r="A426" s="47"/>
      <c r="B426" s="48" t="s">
        <v>5</v>
      </c>
      <c r="C426" s="43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  <c r="AB426" s="49"/>
      <c r="AC426" s="49"/>
      <c r="AD426" s="49"/>
      <c r="AE426" s="49"/>
      <c r="AF426" s="94"/>
      <c r="AH426" s="40"/>
      <c r="AI426" s="39">
        <f t="shared" si="23"/>
        <v>0</v>
      </c>
      <c r="AJ426" s="41"/>
      <c r="AK426" s="41"/>
      <c r="AL426" s="42"/>
      <c r="AM426" s="43">
        <f t="array" ref="AM426:AP426">AI426:AL426/4</f>
        <v>0</v>
      </c>
      <c r="AN426" s="44"/>
      <c r="AO426" s="44"/>
      <c r="AP426" s="45"/>
      <c r="AQ426" s="46"/>
    </row>
    <row r="427" ht="15.75" customHeight="1">
      <c r="A427" s="47"/>
      <c r="B427" s="114" t="s">
        <v>30</v>
      </c>
      <c r="C427" s="49"/>
      <c r="D427" s="49"/>
      <c r="E427" s="49"/>
      <c r="F427" s="49"/>
      <c r="G427" s="99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99"/>
      <c r="V427" s="99"/>
      <c r="W427" s="49"/>
      <c r="X427" s="49"/>
      <c r="Y427" s="49"/>
      <c r="Z427" s="99"/>
      <c r="AA427" s="99"/>
      <c r="AB427" s="99"/>
      <c r="AC427" s="99"/>
      <c r="AD427" s="49"/>
      <c r="AE427" s="49"/>
      <c r="AF427" s="94"/>
      <c r="AH427" s="40"/>
      <c r="AI427" s="39">
        <f t="shared" si="23"/>
        <v>0</v>
      </c>
      <c r="AJ427" s="41"/>
      <c r="AK427" s="41"/>
      <c r="AL427" s="42"/>
      <c r="AM427" s="43">
        <f t="array" ref="AM427:AP427">AI427:AL427/4</f>
        <v>0</v>
      </c>
      <c r="AN427" s="44"/>
      <c r="AO427" s="44"/>
      <c r="AP427" s="45"/>
    </row>
    <row r="428" ht="15.75" customHeight="1">
      <c r="A428" s="47"/>
      <c r="B428" s="48" t="s">
        <v>7</v>
      </c>
      <c r="C428" s="49"/>
      <c r="D428" s="49"/>
      <c r="E428" s="49"/>
      <c r="F428" s="49"/>
      <c r="G428" s="99"/>
      <c r="H428" s="99"/>
      <c r="I428" s="99"/>
      <c r="J428" s="49"/>
      <c r="K428" s="99"/>
      <c r="L428" s="99"/>
      <c r="M428" s="99"/>
      <c r="N428" s="49"/>
      <c r="O428" s="99"/>
      <c r="P428" s="99"/>
      <c r="Q428" s="99"/>
      <c r="R428" s="49"/>
      <c r="S428" s="99"/>
      <c r="T428" s="99"/>
      <c r="U428" s="99"/>
      <c r="V428" s="49"/>
      <c r="W428" s="49"/>
      <c r="X428" s="49"/>
      <c r="Y428" s="49"/>
      <c r="Z428" s="99"/>
      <c r="AA428" s="99"/>
      <c r="AB428" s="99"/>
      <c r="AC428" s="49"/>
      <c r="AD428" s="49"/>
      <c r="AE428" s="49"/>
      <c r="AF428" s="49"/>
      <c r="AH428" s="40"/>
      <c r="AI428" s="39">
        <f t="shared" si="23"/>
        <v>0</v>
      </c>
      <c r="AJ428" s="41"/>
      <c r="AK428" s="41"/>
      <c r="AL428" s="42"/>
      <c r="AM428" s="43">
        <f t="array" ref="AM428:AP428">AI428:AL428/4</f>
        <v>0</v>
      </c>
      <c r="AN428" s="44"/>
      <c r="AO428" s="44"/>
      <c r="AP428" s="45"/>
    </row>
    <row r="429" ht="15.75" customHeight="1">
      <c r="A429" s="47"/>
      <c r="B429" s="114" t="s">
        <v>25</v>
      </c>
      <c r="C429" s="53"/>
      <c r="D429" s="53"/>
      <c r="E429" s="53"/>
      <c r="F429" s="53"/>
      <c r="G429" s="53"/>
      <c r="H429" s="101"/>
      <c r="I429" s="53"/>
      <c r="J429" s="101"/>
      <c r="K429" s="101"/>
      <c r="L429" s="53"/>
      <c r="M429" s="101"/>
      <c r="N429" s="101"/>
      <c r="O429" s="53"/>
      <c r="P429" s="101"/>
      <c r="Q429" s="101"/>
      <c r="R429" s="101"/>
      <c r="S429" s="53"/>
      <c r="T429" s="101"/>
      <c r="U429" s="53"/>
      <c r="V429" s="101"/>
      <c r="W429" s="53"/>
      <c r="X429" s="53"/>
      <c r="Y429" s="53"/>
      <c r="Z429" s="53"/>
      <c r="AA429" s="53"/>
      <c r="AB429" s="101"/>
      <c r="AC429" s="101"/>
      <c r="AD429" s="53"/>
      <c r="AE429" s="53"/>
      <c r="AF429" s="53"/>
      <c r="AH429" s="40"/>
      <c r="AI429" s="39">
        <f t="shared" si="23"/>
        <v>0</v>
      </c>
      <c r="AJ429" s="41"/>
      <c r="AK429" s="41"/>
      <c r="AL429" s="42"/>
      <c r="AM429" s="43">
        <f t="array" ref="AM429:AP429">AI429:AL429/4</f>
        <v>0</v>
      </c>
      <c r="AN429" s="44"/>
      <c r="AO429" s="44"/>
      <c r="AP429" s="45"/>
    </row>
    <row r="430" ht="15.75" customHeight="1">
      <c r="A430" s="47"/>
      <c r="B430" s="48"/>
      <c r="C430" s="49"/>
      <c r="D430" s="49"/>
      <c r="E430" s="49"/>
      <c r="F430" s="49"/>
      <c r="G430" s="49"/>
      <c r="H430" s="49"/>
      <c r="I430" s="49"/>
      <c r="J430" s="49"/>
      <c r="K430" s="49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H430" s="40"/>
      <c r="AI430" s="39">
        <f t="shared" si="23"/>
        <v>0</v>
      </c>
      <c r="AJ430" s="41"/>
      <c r="AK430" s="41"/>
      <c r="AL430" s="42"/>
      <c r="AM430" s="43">
        <f t="array" ref="AM430:AP430">AI430:AL430/4</f>
        <v>0</v>
      </c>
      <c r="AN430" s="44"/>
      <c r="AO430" s="44"/>
      <c r="AP430" s="45"/>
    </row>
    <row r="431" ht="15.75" customHeight="1">
      <c r="A431" s="47"/>
      <c r="B431" s="48"/>
      <c r="C431" s="52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H431" s="40"/>
      <c r="AI431" s="39">
        <f t="shared" si="23"/>
        <v>0</v>
      </c>
      <c r="AJ431" s="41"/>
      <c r="AK431" s="41"/>
      <c r="AL431" s="42"/>
      <c r="AM431" s="43">
        <f t="array" ref="AM431:AP431">AI431:AL431/4</f>
        <v>0</v>
      </c>
      <c r="AN431" s="44"/>
      <c r="AO431" s="44"/>
      <c r="AP431" s="45"/>
    </row>
    <row r="432" ht="15.75" customHeight="1">
      <c r="A432" s="30"/>
      <c r="B432" s="48"/>
      <c r="C432" s="52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4"/>
      <c r="AF432" s="54"/>
      <c r="AH432" s="40"/>
      <c r="AI432" s="55">
        <f t="shared" si="23"/>
        <v>0</v>
      </c>
      <c r="AJ432" s="56"/>
      <c r="AK432" s="56"/>
      <c r="AL432" s="57"/>
      <c r="AM432" s="52">
        <f t="array" ref="AM432:AP432">AI432:AL432/4</f>
        <v>0</v>
      </c>
      <c r="AN432" s="56"/>
      <c r="AO432" s="56"/>
      <c r="AP432" s="57"/>
    </row>
    <row r="433" ht="15.75" customHeight="1">
      <c r="A433" s="58" t="s">
        <v>8</v>
      </c>
      <c r="B433" s="59" t="s">
        <v>9</v>
      </c>
      <c r="C433" s="100"/>
      <c r="D433" s="100"/>
      <c r="E433" s="100"/>
      <c r="F433" s="100"/>
      <c r="G433" s="100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100"/>
      <c r="X433" s="100"/>
      <c r="Y433" s="100"/>
      <c r="Z433" s="100"/>
      <c r="AA433" s="61"/>
      <c r="AB433" s="61"/>
      <c r="AC433" s="61"/>
      <c r="AD433" s="100"/>
      <c r="AE433" s="100"/>
      <c r="AF433" s="100"/>
      <c r="AH433" s="40"/>
      <c r="AI433" s="64">
        <f t="shared" si="23"/>
        <v>0</v>
      </c>
      <c r="AJ433" s="65"/>
      <c r="AK433" s="65"/>
      <c r="AL433" s="66"/>
      <c r="AM433" s="36">
        <f t="array" ref="AM433:AP433">AI433:AL433/4</f>
        <v>0</v>
      </c>
      <c r="AN433" s="65"/>
      <c r="AO433" s="65"/>
      <c r="AP433" s="66"/>
    </row>
    <row r="434" ht="15.75" customHeight="1">
      <c r="A434" s="67"/>
      <c r="B434" s="68" t="s">
        <v>18</v>
      </c>
      <c r="C434" s="101"/>
      <c r="D434" s="101"/>
      <c r="E434" s="101"/>
      <c r="F434" s="101"/>
      <c r="G434" s="101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101"/>
      <c r="X434" s="101"/>
      <c r="Y434" s="101"/>
      <c r="Z434" s="101"/>
      <c r="AA434" s="53"/>
      <c r="AB434" s="53"/>
      <c r="AC434" s="53"/>
      <c r="AD434" s="101"/>
      <c r="AE434" s="101"/>
      <c r="AF434" s="101"/>
      <c r="AH434" s="40"/>
      <c r="AI434" s="39">
        <f t="shared" si="23"/>
        <v>0</v>
      </c>
      <c r="AJ434" s="41"/>
      <c r="AK434" s="41"/>
      <c r="AL434" s="42"/>
      <c r="AM434" s="43">
        <f t="array" ref="AM434:AP434">AI434:AL434/4</f>
        <v>0</v>
      </c>
      <c r="AN434" s="44"/>
      <c r="AO434" s="44"/>
      <c r="AP434" s="45"/>
    </row>
    <row r="435" ht="15.75" customHeight="1">
      <c r="A435" s="32"/>
      <c r="B435" s="68"/>
      <c r="C435" s="52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4"/>
      <c r="Y435" s="54"/>
      <c r="Z435" s="53"/>
      <c r="AA435" s="53"/>
      <c r="AB435" s="53"/>
      <c r="AC435" s="53"/>
      <c r="AD435" s="53"/>
      <c r="AE435" s="54"/>
      <c r="AF435" s="54"/>
      <c r="AH435" s="40"/>
      <c r="AI435" s="55">
        <f t="shared" si="23"/>
        <v>0</v>
      </c>
      <c r="AJ435" s="56"/>
      <c r="AK435" s="56"/>
      <c r="AL435" s="57"/>
      <c r="AM435" s="40">
        <f t="array" ref="AM435:AP435">AI435:AL435/4</f>
        <v>0</v>
      </c>
      <c r="AP435" s="74"/>
    </row>
    <row r="436" ht="15.75" customHeight="1">
      <c r="A436" s="75" t="s">
        <v>11</v>
      </c>
      <c r="B436" s="76" t="s">
        <v>12</v>
      </c>
      <c r="C436" s="36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  <c r="AA436" s="61"/>
      <c r="AB436" s="61"/>
      <c r="AC436" s="61"/>
      <c r="AD436" s="61"/>
      <c r="AE436" s="77"/>
      <c r="AF436" s="77"/>
      <c r="AH436" s="40"/>
      <c r="AI436" s="64">
        <f t="shared" si="23"/>
        <v>0</v>
      </c>
      <c r="AJ436" s="65"/>
      <c r="AK436" s="65"/>
      <c r="AL436" s="66"/>
      <c r="AM436" s="36">
        <f t="array" ref="AM436:AP436">AI436:AL436/4</f>
        <v>0</v>
      </c>
      <c r="AN436" s="65"/>
      <c r="AO436" s="65"/>
      <c r="AP436" s="66"/>
    </row>
    <row r="437" ht="15.75" customHeight="1">
      <c r="A437" s="47"/>
      <c r="B437" s="78" t="s">
        <v>13</v>
      </c>
      <c r="C437" s="43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61"/>
      <c r="Y437" s="61"/>
      <c r="Z437" s="49"/>
      <c r="AA437" s="49"/>
      <c r="AB437" s="49"/>
      <c r="AC437" s="49"/>
      <c r="AD437" s="49"/>
      <c r="AE437" s="51"/>
      <c r="AF437" s="51"/>
      <c r="AH437" s="40"/>
      <c r="AI437" s="39">
        <f t="shared" si="23"/>
        <v>0</v>
      </c>
      <c r="AJ437" s="41"/>
      <c r="AK437" s="41"/>
      <c r="AL437" s="42"/>
      <c r="AM437" s="43">
        <f t="array" ref="AM437:AP437">AI437:AL437/4</f>
        <v>0</v>
      </c>
      <c r="AN437" s="44"/>
      <c r="AO437" s="44"/>
      <c r="AP437" s="45"/>
    </row>
    <row r="438" ht="15.75" customHeight="1">
      <c r="A438" s="47"/>
      <c r="B438" s="78" t="s">
        <v>14</v>
      </c>
      <c r="C438" s="43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  <c r="AC438" s="49"/>
      <c r="AD438" s="49"/>
      <c r="AE438" s="51"/>
      <c r="AF438" s="51"/>
      <c r="AH438" s="40"/>
      <c r="AI438" s="39">
        <f t="shared" si="23"/>
        <v>0</v>
      </c>
      <c r="AJ438" s="41"/>
      <c r="AK438" s="41"/>
      <c r="AL438" s="42"/>
      <c r="AM438" s="43">
        <f t="array" ref="AM438:AP438">AI438:AL438/4</f>
        <v>0</v>
      </c>
      <c r="AN438" s="44"/>
      <c r="AO438" s="44"/>
      <c r="AP438" s="45"/>
    </row>
    <row r="439" ht="15.75" customHeight="1">
      <c r="A439" s="47"/>
      <c r="B439" s="78"/>
      <c r="C439" s="43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  <c r="AB439" s="49"/>
      <c r="AC439" s="49"/>
      <c r="AD439" s="49"/>
      <c r="AE439" s="49"/>
      <c r="AF439" s="94"/>
      <c r="AH439" s="40"/>
      <c r="AI439" s="39">
        <f t="shared" si="23"/>
        <v>0</v>
      </c>
      <c r="AJ439" s="41"/>
      <c r="AK439" s="41"/>
      <c r="AL439" s="42"/>
      <c r="AM439" s="43">
        <f t="array" ref="AM439:AP439">AI439:AL439/4</f>
        <v>0</v>
      </c>
      <c r="AN439" s="44"/>
      <c r="AO439" s="44"/>
      <c r="AP439" s="45"/>
    </row>
    <row r="440" ht="15.75" customHeight="1">
      <c r="A440" s="47"/>
      <c r="B440" s="78"/>
      <c r="C440" s="43"/>
      <c r="D440" s="49"/>
      <c r="E440" s="51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  <c r="AC440" s="49"/>
      <c r="AD440" s="49"/>
      <c r="AE440" s="49"/>
      <c r="AF440" s="94"/>
      <c r="AH440" s="40"/>
      <c r="AI440" s="39">
        <f t="shared" si="23"/>
        <v>0</v>
      </c>
      <c r="AJ440" s="41"/>
      <c r="AK440" s="41"/>
      <c r="AL440" s="42"/>
      <c r="AM440" s="43">
        <f t="array" ref="AM440:AP440">AI440:AL440/4</f>
        <v>0</v>
      </c>
      <c r="AN440" s="44"/>
      <c r="AO440" s="44"/>
      <c r="AP440" s="45"/>
    </row>
    <row r="441" ht="15.75" customHeight="1">
      <c r="A441" s="30"/>
      <c r="B441" s="79" t="s">
        <v>15</v>
      </c>
      <c r="C441" s="69"/>
      <c r="D441" s="80"/>
      <c r="E441" s="80"/>
      <c r="F441" s="80"/>
      <c r="G441" s="80"/>
      <c r="H441" s="80"/>
      <c r="I441" s="80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  <c r="AA441" s="80"/>
      <c r="AB441" s="80"/>
      <c r="AC441" s="80"/>
      <c r="AD441" s="80"/>
      <c r="AE441" s="80"/>
      <c r="AF441" s="80"/>
      <c r="AG441" s="41"/>
      <c r="AH441" s="40"/>
      <c r="AI441" s="55">
        <f t="shared" si="23"/>
        <v>0</v>
      </c>
      <c r="AJ441" s="56"/>
      <c r="AK441" s="56"/>
      <c r="AL441" s="57"/>
      <c r="AM441" s="43">
        <f t="array" ref="AM441:AP441">AI441:AL441/4</f>
        <v>0</v>
      </c>
      <c r="AN441" s="44"/>
      <c r="AO441" s="44"/>
      <c r="AP441" s="45"/>
    </row>
    <row r="442" ht="15.75" customHeight="1">
      <c r="A442" s="4" t="s">
        <v>32</v>
      </c>
      <c r="B442" s="5"/>
      <c r="C442" s="6">
        <v>1.0</v>
      </c>
      <c r="D442" s="13">
        <v>2.0</v>
      </c>
      <c r="E442" s="14">
        <v>3.0</v>
      </c>
      <c r="F442" s="9">
        <v>4.0</v>
      </c>
      <c r="G442" s="9">
        <v>5.0</v>
      </c>
      <c r="H442" s="10">
        <v>6.0</v>
      </c>
      <c r="I442" s="11">
        <v>7.0</v>
      </c>
      <c r="J442" s="12">
        <v>8.0</v>
      </c>
      <c r="K442" s="13">
        <v>9.0</v>
      </c>
      <c r="L442" s="14">
        <v>10.0</v>
      </c>
      <c r="M442" s="9">
        <v>11.0</v>
      </c>
      <c r="N442" s="9">
        <v>12.0</v>
      </c>
      <c r="O442" s="10">
        <v>13.0</v>
      </c>
      <c r="P442" s="11">
        <v>14.0</v>
      </c>
      <c r="Q442" s="12">
        <v>15.0</v>
      </c>
      <c r="R442" s="11">
        <v>16.0</v>
      </c>
      <c r="S442" s="9">
        <v>17.0</v>
      </c>
      <c r="T442" s="9">
        <v>18.0</v>
      </c>
      <c r="U442" s="9">
        <v>19.0</v>
      </c>
      <c r="V442" s="15">
        <v>20.0</v>
      </c>
      <c r="W442" s="16">
        <v>21.0</v>
      </c>
      <c r="X442" s="17">
        <v>22.0</v>
      </c>
      <c r="Y442" s="7">
        <v>23.0</v>
      </c>
      <c r="Z442" s="8">
        <v>24.0</v>
      </c>
      <c r="AA442" s="8">
        <v>25.0</v>
      </c>
      <c r="AB442" s="8">
        <v>26.0</v>
      </c>
      <c r="AC442" s="15">
        <v>27.0</v>
      </c>
      <c r="AD442" s="16">
        <v>28.0</v>
      </c>
      <c r="AE442" s="10">
        <v>29.0</v>
      </c>
      <c r="AF442" s="11">
        <v>30.0</v>
      </c>
      <c r="AG442" s="97">
        <v>31.0</v>
      </c>
      <c r="AH442" s="21"/>
      <c r="AI442" s="22" t="s">
        <v>1</v>
      </c>
      <c r="AJ442" s="5"/>
      <c r="AK442" s="5"/>
      <c r="AL442" s="5"/>
      <c r="AM442" s="22" t="s">
        <v>2</v>
      </c>
      <c r="AN442" s="5"/>
      <c r="AO442" s="5"/>
      <c r="AP442" s="23"/>
    </row>
    <row r="443" ht="15.75" customHeight="1">
      <c r="A443" s="25"/>
      <c r="B443" s="2"/>
      <c r="C443" s="26"/>
      <c r="D443" s="27"/>
      <c r="E443" s="28"/>
      <c r="F443" s="28"/>
      <c r="G443" s="28"/>
      <c r="H443" s="29"/>
      <c r="I443" s="30"/>
      <c r="J443" s="31"/>
      <c r="K443" s="27"/>
      <c r="L443" s="28"/>
      <c r="M443" s="28"/>
      <c r="N443" s="28"/>
      <c r="O443" s="29"/>
      <c r="P443" s="30"/>
      <c r="Q443" s="31"/>
      <c r="R443" s="30"/>
      <c r="S443" s="28"/>
      <c r="T443" s="28"/>
      <c r="U443" s="28"/>
      <c r="V443" s="29"/>
      <c r="W443" s="30"/>
      <c r="X443" s="31"/>
      <c r="Y443" s="27"/>
      <c r="Z443" s="28"/>
      <c r="AA443" s="28"/>
      <c r="AB443" s="28"/>
      <c r="AC443" s="29"/>
      <c r="AD443" s="30"/>
      <c r="AE443" s="29"/>
      <c r="AF443" s="30"/>
      <c r="AG443" s="98"/>
      <c r="AH443" s="21"/>
      <c r="AI443" s="25"/>
      <c r="AJ443" s="2"/>
      <c r="AK443" s="2"/>
      <c r="AL443" s="2"/>
      <c r="AM443" s="25"/>
      <c r="AN443" s="2"/>
      <c r="AO443" s="2"/>
      <c r="AP443" s="33"/>
    </row>
    <row r="444" ht="15.75" customHeight="1">
      <c r="A444" s="34" t="s">
        <v>3</v>
      </c>
      <c r="B444" s="35" t="s">
        <v>4</v>
      </c>
      <c r="C444" s="106"/>
      <c r="D444" s="106"/>
      <c r="E444" s="106"/>
      <c r="F444" s="106"/>
      <c r="G444" s="106"/>
      <c r="H444" s="106"/>
      <c r="I444" s="106"/>
      <c r="J444" s="106"/>
      <c r="K444" s="106"/>
      <c r="L444" s="106"/>
      <c r="M444" s="106"/>
      <c r="N444" s="106"/>
      <c r="O444" s="106"/>
      <c r="P444" s="106"/>
      <c r="Q444" s="106"/>
      <c r="R444" s="106"/>
      <c r="S444" s="106"/>
      <c r="T444" s="106"/>
      <c r="U444" s="37"/>
      <c r="V444" s="37"/>
      <c r="W444" s="37"/>
      <c r="X444" s="37"/>
      <c r="Y444" s="106"/>
      <c r="Z444" s="106"/>
      <c r="AA444" s="106"/>
      <c r="AB444" s="37"/>
      <c r="AC444" s="106"/>
      <c r="AD444" s="106"/>
      <c r="AE444" s="106"/>
      <c r="AF444" s="113"/>
      <c r="AG444" s="39"/>
      <c r="AH444" s="40"/>
      <c r="AI444" s="39">
        <f t="shared" ref="AI444:AI460" si="24">SUM(C444:AG444)</f>
        <v>0</v>
      </c>
      <c r="AJ444" s="41"/>
      <c r="AK444" s="41"/>
      <c r="AL444" s="42"/>
      <c r="AM444" s="43">
        <f t="array" ref="AM444:AP444">AI444:AL444/4</f>
        <v>0</v>
      </c>
      <c r="AN444" s="44"/>
      <c r="AO444" s="44"/>
      <c r="AP444" s="45"/>
    </row>
    <row r="445" ht="15.75" customHeight="1">
      <c r="A445" s="47"/>
      <c r="B445" s="48" t="s">
        <v>5</v>
      </c>
      <c r="C445" s="43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  <c r="AB445" s="49"/>
      <c r="AC445" s="49"/>
      <c r="AD445" s="49"/>
      <c r="AE445" s="49"/>
      <c r="AF445" s="94"/>
      <c r="AG445" s="50"/>
      <c r="AH445" s="40"/>
      <c r="AI445" s="39">
        <f t="shared" si="24"/>
        <v>0</v>
      </c>
      <c r="AJ445" s="41"/>
      <c r="AK445" s="41"/>
      <c r="AL445" s="42"/>
      <c r="AM445" s="43">
        <f t="array" ref="AM445:AP445">AI445:AL445/4</f>
        <v>0</v>
      </c>
      <c r="AN445" s="44"/>
      <c r="AO445" s="44"/>
      <c r="AP445" s="45"/>
    </row>
    <row r="446" ht="15.75" customHeight="1">
      <c r="A446" s="47"/>
      <c r="B446" s="114" t="s">
        <v>30</v>
      </c>
      <c r="C446" s="43"/>
      <c r="D446" s="99"/>
      <c r="E446" s="99"/>
      <c r="F446" s="49"/>
      <c r="G446" s="49"/>
      <c r="H446" s="99"/>
      <c r="I446" s="99"/>
      <c r="J446" s="99"/>
      <c r="K446" s="101"/>
      <c r="L446" s="101"/>
      <c r="M446" s="99"/>
      <c r="N446" s="99"/>
      <c r="O446" s="101"/>
      <c r="P446" s="101"/>
      <c r="Q446" s="101"/>
      <c r="R446" s="99"/>
      <c r="S446" s="49"/>
      <c r="T446" s="49"/>
      <c r="U446" s="49"/>
      <c r="V446" s="49"/>
      <c r="W446" s="49"/>
      <c r="X446" s="99"/>
      <c r="Y446" s="99"/>
      <c r="Z446" s="101"/>
      <c r="AA446" s="101"/>
      <c r="AB446" s="99"/>
      <c r="AC446" s="99"/>
      <c r="AD446" s="101"/>
      <c r="AE446" s="101"/>
      <c r="AF446" s="101"/>
      <c r="AG446" s="99"/>
      <c r="AH446" s="40"/>
      <c r="AI446" s="39">
        <f t="shared" si="24"/>
        <v>0</v>
      </c>
      <c r="AJ446" s="41"/>
      <c r="AK446" s="41"/>
      <c r="AL446" s="42"/>
      <c r="AM446" s="43">
        <f t="array" ref="AM446:AP446">AI446:AL446/4</f>
        <v>0</v>
      </c>
      <c r="AN446" s="44"/>
      <c r="AO446" s="44"/>
      <c r="AP446" s="45"/>
    </row>
    <row r="447" ht="15.75" customHeight="1">
      <c r="A447" s="47"/>
      <c r="B447" s="48" t="s">
        <v>7</v>
      </c>
      <c r="C447" s="109"/>
      <c r="D447" s="99"/>
      <c r="E447" s="99"/>
      <c r="F447" s="99"/>
      <c r="G447" s="99"/>
      <c r="H447" s="99"/>
      <c r="I447" s="99"/>
      <c r="J447" s="99"/>
      <c r="K447" s="99"/>
      <c r="L447" s="101"/>
      <c r="M447" s="101"/>
      <c r="N447" s="101"/>
      <c r="O447" s="99"/>
      <c r="P447" s="99"/>
      <c r="Q447" s="99"/>
      <c r="R447" s="99"/>
      <c r="S447" s="99"/>
      <c r="T447" s="99"/>
      <c r="U447" s="49"/>
      <c r="V447" s="49"/>
      <c r="W447" s="49"/>
      <c r="X447" s="99"/>
      <c r="Y447" s="99"/>
      <c r="Z447" s="99"/>
      <c r="AA447" s="101"/>
      <c r="AB447" s="101"/>
      <c r="AC447" s="101"/>
      <c r="AD447" s="99"/>
      <c r="AE447" s="99"/>
      <c r="AF447" s="99"/>
      <c r="AG447" s="50"/>
      <c r="AH447" s="40"/>
      <c r="AI447" s="39">
        <f t="shared" si="24"/>
        <v>0</v>
      </c>
      <c r="AJ447" s="41"/>
      <c r="AK447" s="41"/>
      <c r="AL447" s="42"/>
      <c r="AM447" s="43">
        <f t="array" ref="AM447:AP447">AI447:AL447/4</f>
        <v>0</v>
      </c>
      <c r="AN447" s="44"/>
      <c r="AO447" s="44"/>
      <c r="AP447" s="45"/>
    </row>
    <row r="448" ht="15.75" customHeight="1">
      <c r="A448" s="47"/>
      <c r="B448" s="114" t="s">
        <v>25</v>
      </c>
      <c r="C448" s="109"/>
      <c r="D448" s="53"/>
      <c r="E448" s="53"/>
      <c r="F448" s="101"/>
      <c r="G448" s="53"/>
      <c r="H448" s="53"/>
      <c r="I448" s="101"/>
      <c r="J448" s="53"/>
      <c r="K448" s="101"/>
      <c r="L448" s="101"/>
      <c r="M448" s="53"/>
      <c r="N448" s="101"/>
      <c r="O448" s="101"/>
      <c r="P448" s="53"/>
      <c r="Q448" s="53"/>
      <c r="R448" s="53"/>
      <c r="S448" s="101"/>
      <c r="T448" s="101"/>
      <c r="U448" s="53"/>
      <c r="V448" s="53"/>
      <c r="W448" s="53"/>
      <c r="X448" s="101"/>
      <c r="Y448" s="53"/>
      <c r="Z448" s="101"/>
      <c r="AA448" s="101"/>
      <c r="AB448" s="101"/>
      <c r="AC448" s="101"/>
      <c r="AD448" s="53"/>
      <c r="AE448" s="53"/>
      <c r="AF448" s="53"/>
      <c r="AG448" s="55"/>
      <c r="AH448" s="40"/>
      <c r="AI448" s="39">
        <f t="shared" si="24"/>
        <v>0</v>
      </c>
      <c r="AJ448" s="41"/>
      <c r="AK448" s="41"/>
      <c r="AL448" s="42"/>
      <c r="AM448" s="43">
        <f t="array" ref="AM448:AP448">AI448:AL448/4</f>
        <v>0</v>
      </c>
      <c r="AN448" s="44"/>
      <c r="AO448" s="44"/>
      <c r="AP448" s="45"/>
    </row>
    <row r="449" ht="15.75" customHeight="1">
      <c r="A449" s="47"/>
      <c r="B449" s="48"/>
      <c r="C449" s="52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5"/>
      <c r="AH449" s="40"/>
      <c r="AI449" s="39">
        <f t="shared" si="24"/>
        <v>0</v>
      </c>
      <c r="AJ449" s="41"/>
      <c r="AK449" s="41"/>
      <c r="AL449" s="42"/>
      <c r="AM449" s="43">
        <f t="array" ref="AM449:AP449">AI449:AL449/4</f>
        <v>0</v>
      </c>
      <c r="AN449" s="44"/>
      <c r="AO449" s="44"/>
      <c r="AP449" s="45"/>
    </row>
    <row r="450" ht="15.75" customHeight="1">
      <c r="A450" s="47"/>
      <c r="B450" s="48"/>
      <c r="C450" s="52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  <c r="AG450" s="55"/>
      <c r="AH450" s="40"/>
      <c r="AI450" s="39">
        <f t="shared" si="24"/>
        <v>0</v>
      </c>
      <c r="AJ450" s="41"/>
      <c r="AK450" s="41"/>
      <c r="AL450" s="42"/>
      <c r="AM450" s="43">
        <f t="array" ref="AM450:AP450">AI450:AL450/4</f>
        <v>0</v>
      </c>
      <c r="AN450" s="44"/>
      <c r="AO450" s="44"/>
      <c r="AP450" s="45"/>
    </row>
    <row r="451" ht="15.75" customHeight="1">
      <c r="A451" s="30"/>
      <c r="B451" s="48"/>
      <c r="C451" s="52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  <c r="AG451" s="55"/>
      <c r="AH451" s="40"/>
      <c r="AI451" s="55">
        <f t="shared" si="24"/>
        <v>0</v>
      </c>
      <c r="AJ451" s="56"/>
      <c r="AK451" s="56"/>
      <c r="AL451" s="57"/>
      <c r="AM451" s="52">
        <f t="array" ref="AM451:AP451">AI451:AL451/4</f>
        <v>0</v>
      </c>
      <c r="AN451" s="56"/>
      <c r="AO451" s="56"/>
      <c r="AP451" s="57"/>
    </row>
    <row r="452" ht="15.75" customHeight="1">
      <c r="A452" s="58" t="s">
        <v>8</v>
      </c>
      <c r="B452" s="59" t="s">
        <v>9</v>
      </c>
      <c r="C452" s="102"/>
      <c r="D452" s="100"/>
      <c r="E452" s="100"/>
      <c r="F452" s="100"/>
      <c r="G452" s="100"/>
      <c r="H452" s="100"/>
      <c r="I452" s="100"/>
      <c r="J452" s="61"/>
      <c r="K452" s="61"/>
      <c r="L452" s="61"/>
      <c r="M452" s="61"/>
      <c r="N452" s="62"/>
      <c r="O452" s="63"/>
      <c r="P452" s="63"/>
      <c r="Q452" s="110"/>
      <c r="R452" s="116"/>
      <c r="S452" s="63"/>
      <c r="T452" s="62"/>
      <c r="U452" s="62"/>
      <c r="V452" s="63"/>
      <c r="W452" s="63"/>
      <c r="X452" s="149"/>
      <c r="Y452" s="150"/>
      <c r="Z452" s="61"/>
      <c r="AA452" s="116"/>
      <c r="AB452" s="63"/>
      <c r="AC452" s="63"/>
      <c r="AD452" s="63"/>
      <c r="AE452" s="63"/>
      <c r="AF452" s="110"/>
      <c r="AG452" s="100"/>
      <c r="AH452" s="40"/>
      <c r="AI452" s="64">
        <f t="shared" si="24"/>
        <v>0</v>
      </c>
      <c r="AJ452" s="65"/>
      <c r="AK452" s="65"/>
      <c r="AL452" s="66"/>
      <c r="AM452" s="36">
        <f t="array" ref="AM452:AP452">AI452:AL452/4</f>
        <v>0</v>
      </c>
      <c r="AN452" s="65"/>
      <c r="AO452" s="65"/>
      <c r="AP452" s="66"/>
    </row>
    <row r="453" ht="15.75" customHeight="1">
      <c r="A453" s="67"/>
      <c r="B453" s="68" t="s">
        <v>18</v>
      </c>
      <c r="C453" s="109"/>
      <c r="D453" s="101"/>
      <c r="E453" s="101"/>
      <c r="F453" s="101"/>
      <c r="G453" s="101"/>
      <c r="H453" s="101"/>
      <c r="I453" s="101"/>
      <c r="J453" s="53"/>
      <c r="K453" s="53"/>
      <c r="L453" s="53"/>
      <c r="M453" s="53"/>
      <c r="N453" s="88"/>
      <c r="O453" s="89"/>
      <c r="P453" s="89"/>
      <c r="Q453" s="111"/>
      <c r="R453" s="117"/>
      <c r="S453" s="89"/>
      <c r="T453" s="88"/>
      <c r="U453" s="88"/>
      <c r="V453" s="89"/>
      <c r="W453" s="89"/>
      <c r="X453" s="153"/>
      <c r="Y453" s="154"/>
      <c r="Z453" s="53"/>
      <c r="AA453" s="88"/>
      <c r="AB453" s="89"/>
      <c r="AC453" s="89"/>
      <c r="AD453" s="89"/>
      <c r="AE453" s="89"/>
      <c r="AF453" s="111"/>
      <c r="AG453" s="101"/>
      <c r="AH453" s="40"/>
      <c r="AI453" s="39">
        <f t="shared" si="24"/>
        <v>0</v>
      </c>
      <c r="AJ453" s="41"/>
      <c r="AK453" s="41"/>
      <c r="AL453" s="42"/>
      <c r="AM453" s="43">
        <f t="array" ref="AM453:AP453">AI453:AL453/4</f>
        <v>0</v>
      </c>
      <c r="AN453" s="44"/>
      <c r="AO453" s="44"/>
      <c r="AP453" s="45"/>
    </row>
    <row r="454" ht="15.75" customHeight="1">
      <c r="A454" s="32"/>
      <c r="B454" s="68"/>
      <c r="C454" s="52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157"/>
      <c r="S454" s="158"/>
      <c r="T454" s="157"/>
      <c r="U454" s="157"/>
      <c r="V454" s="158"/>
      <c r="W454" s="158"/>
      <c r="X454" s="158"/>
      <c r="Y454" s="158"/>
      <c r="Z454" s="53"/>
      <c r="AA454" s="53"/>
      <c r="AB454" s="53"/>
      <c r="AC454" s="53"/>
      <c r="AD454" s="53"/>
      <c r="AE454" s="53"/>
      <c r="AF454" s="53"/>
      <c r="AG454" s="55"/>
      <c r="AH454" s="40"/>
      <c r="AI454" s="55">
        <f t="shared" si="24"/>
        <v>0</v>
      </c>
      <c r="AJ454" s="56"/>
      <c r="AK454" s="56"/>
      <c r="AL454" s="57"/>
      <c r="AM454" s="40">
        <f t="array" ref="AM454:AP454">AI454:AL454/4</f>
        <v>0</v>
      </c>
      <c r="AP454" s="74"/>
    </row>
    <row r="455" ht="15.75" customHeight="1">
      <c r="A455" s="75" t="s">
        <v>11</v>
      </c>
      <c r="B455" s="76" t="s">
        <v>12</v>
      </c>
      <c r="C455" s="36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100"/>
      <c r="O455" s="61"/>
      <c r="P455" s="61"/>
      <c r="Q455" s="61"/>
      <c r="R455" s="100"/>
      <c r="S455" s="61"/>
      <c r="T455" s="61"/>
      <c r="U455" s="61"/>
      <c r="V455" s="61"/>
      <c r="W455" s="61"/>
      <c r="X455" s="61"/>
      <c r="Y455" s="61"/>
      <c r="Z455" s="100"/>
      <c r="AA455" s="100"/>
      <c r="AB455" s="100"/>
      <c r="AC455" s="61"/>
      <c r="AD455" s="61"/>
      <c r="AE455" s="61"/>
      <c r="AF455" s="61"/>
      <c r="AG455" s="64"/>
      <c r="AH455" s="40"/>
      <c r="AI455" s="64">
        <f t="shared" si="24"/>
        <v>0</v>
      </c>
      <c r="AJ455" s="65"/>
      <c r="AK455" s="65"/>
      <c r="AL455" s="66"/>
      <c r="AM455" s="36">
        <f t="array" ref="AM455:AP455">AI455:AL455/4</f>
        <v>0</v>
      </c>
      <c r="AN455" s="65"/>
      <c r="AO455" s="65"/>
      <c r="AP455" s="66"/>
    </row>
    <row r="456" ht="15.75" customHeight="1">
      <c r="A456" s="47"/>
      <c r="B456" s="78" t="s">
        <v>13</v>
      </c>
      <c r="C456" s="43"/>
      <c r="D456" s="49"/>
      <c r="E456" s="49"/>
      <c r="F456" s="49"/>
      <c r="G456" s="49"/>
      <c r="H456" s="49"/>
      <c r="I456" s="99"/>
      <c r="J456" s="99"/>
      <c r="K456" s="99"/>
      <c r="L456" s="101"/>
      <c r="M456" s="101"/>
      <c r="N456" s="101"/>
      <c r="O456" s="99"/>
      <c r="P456" s="99"/>
      <c r="Q456" s="99"/>
      <c r="R456" s="49"/>
      <c r="S456" s="49"/>
      <c r="T456" s="49"/>
      <c r="U456" s="49"/>
      <c r="V456" s="49"/>
      <c r="W456" s="49"/>
      <c r="X456" s="49"/>
      <c r="Y456" s="99"/>
      <c r="Z456" s="99"/>
      <c r="AA456" s="49"/>
      <c r="AB456" s="99"/>
      <c r="AC456" s="99"/>
      <c r="AD456" s="99"/>
      <c r="AE456" s="49"/>
      <c r="AF456" s="49"/>
      <c r="AG456" s="50"/>
      <c r="AH456" s="40"/>
      <c r="AI456" s="39">
        <f t="shared" si="24"/>
        <v>0</v>
      </c>
      <c r="AJ456" s="41"/>
      <c r="AK456" s="41"/>
      <c r="AL456" s="42"/>
      <c r="AM456" s="43">
        <f t="array" ref="AM456:AP456">AI456:AL456/4</f>
        <v>0</v>
      </c>
      <c r="AN456" s="44"/>
      <c r="AO456" s="44"/>
      <c r="AP456" s="45"/>
    </row>
    <row r="457" ht="15.75" customHeight="1">
      <c r="A457" s="47"/>
      <c r="B457" s="78" t="s">
        <v>14</v>
      </c>
      <c r="C457" s="43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99"/>
      <c r="Y457" s="99"/>
      <c r="Z457" s="99"/>
      <c r="AA457" s="101"/>
      <c r="AB457" s="101"/>
      <c r="AC457" s="101"/>
      <c r="AD457" s="99"/>
      <c r="AE457" s="99"/>
      <c r="AF457" s="99"/>
      <c r="AG457" s="50"/>
      <c r="AH457" s="40"/>
      <c r="AI457" s="39">
        <f t="shared" si="24"/>
        <v>0</v>
      </c>
      <c r="AJ457" s="41"/>
      <c r="AK457" s="41"/>
      <c r="AL457" s="42"/>
      <c r="AM457" s="43">
        <f t="array" ref="AM457:AP457">AI457:AL457/4</f>
        <v>0</v>
      </c>
      <c r="AN457" s="44"/>
      <c r="AO457" s="44"/>
      <c r="AP457" s="45"/>
    </row>
    <row r="458" ht="15.75" customHeight="1">
      <c r="A458" s="47"/>
      <c r="B458" s="78"/>
      <c r="C458" s="43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  <c r="AC458" s="49"/>
      <c r="AD458" s="49"/>
      <c r="AE458" s="49"/>
      <c r="AF458" s="94"/>
      <c r="AG458" s="50"/>
      <c r="AH458" s="40"/>
      <c r="AI458" s="39">
        <f t="shared" si="24"/>
        <v>0</v>
      </c>
      <c r="AJ458" s="41"/>
      <c r="AK458" s="41"/>
      <c r="AL458" s="42"/>
      <c r="AM458" s="43">
        <f t="array" ref="AM458:AP458">AI458:AL458/4</f>
        <v>0</v>
      </c>
      <c r="AN458" s="44"/>
      <c r="AO458" s="44"/>
      <c r="AP458" s="45"/>
    </row>
    <row r="459" ht="15.75" customHeight="1">
      <c r="A459" s="47"/>
      <c r="B459" s="78"/>
      <c r="C459" s="43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  <c r="AB459" s="49"/>
      <c r="AC459" s="49"/>
      <c r="AD459" s="49"/>
      <c r="AE459" s="49"/>
      <c r="AF459" s="94"/>
      <c r="AG459" s="50"/>
      <c r="AH459" s="40"/>
      <c r="AI459" s="39">
        <f t="shared" si="24"/>
        <v>0</v>
      </c>
      <c r="AJ459" s="41"/>
      <c r="AK459" s="41"/>
      <c r="AL459" s="42"/>
      <c r="AM459" s="43">
        <f t="array" ref="AM459:AP459">AI459:AL459/4</f>
        <v>0</v>
      </c>
      <c r="AN459" s="44"/>
      <c r="AO459" s="44"/>
      <c r="AP459" s="45"/>
    </row>
    <row r="460" ht="15.75" customHeight="1">
      <c r="A460" s="30"/>
      <c r="B460" s="79" t="s">
        <v>15</v>
      </c>
      <c r="C460" s="69"/>
      <c r="D460" s="80"/>
      <c r="E460" s="80"/>
      <c r="F460" s="80"/>
      <c r="G460" s="80"/>
      <c r="H460" s="80"/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  <c r="AA460" s="80"/>
      <c r="AB460" s="80"/>
      <c r="AC460" s="80"/>
      <c r="AD460" s="80"/>
      <c r="AE460" s="80"/>
      <c r="AF460" s="80"/>
      <c r="AG460" s="55"/>
      <c r="AH460" s="40"/>
      <c r="AI460" s="50">
        <f t="shared" si="24"/>
        <v>0</v>
      </c>
      <c r="AJ460" s="44"/>
      <c r="AK460" s="44"/>
      <c r="AL460" s="45"/>
      <c r="AM460" s="43">
        <f t="array" ref="AM460:AP460">AI460:AL460/4</f>
        <v>0</v>
      </c>
      <c r="AN460" s="44"/>
      <c r="AO460" s="44"/>
      <c r="AP460" s="45"/>
    </row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mergeCells count="1702">
    <mergeCell ref="A175:A182"/>
    <mergeCell ref="A183:A185"/>
    <mergeCell ref="A186:A191"/>
    <mergeCell ref="A192:B193"/>
    <mergeCell ref="C192:C193"/>
    <mergeCell ref="D192:D193"/>
    <mergeCell ref="E192:E193"/>
    <mergeCell ref="A194:A201"/>
    <mergeCell ref="A202:A204"/>
    <mergeCell ref="A205:A210"/>
    <mergeCell ref="A211:B212"/>
    <mergeCell ref="C211:C212"/>
    <mergeCell ref="D211:D212"/>
    <mergeCell ref="E211:E212"/>
    <mergeCell ref="AC211:AC212"/>
    <mergeCell ref="AD211:AD212"/>
    <mergeCell ref="V211:V212"/>
    <mergeCell ref="W211:W212"/>
    <mergeCell ref="X211:X212"/>
    <mergeCell ref="Y211:Y212"/>
    <mergeCell ref="Z211:Z212"/>
    <mergeCell ref="AA211:AA212"/>
    <mergeCell ref="AB211:AB212"/>
    <mergeCell ref="A137:A144"/>
    <mergeCell ref="A145:A147"/>
    <mergeCell ref="A148:A153"/>
    <mergeCell ref="A154:B155"/>
    <mergeCell ref="C154:C155"/>
    <mergeCell ref="D154:D155"/>
    <mergeCell ref="E154:E155"/>
    <mergeCell ref="A156:A163"/>
    <mergeCell ref="A164:A166"/>
    <mergeCell ref="A167:A172"/>
    <mergeCell ref="A173:B174"/>
    <mergeCell ref="C173:C174"/>
    <mergeCell ref="D173:D174"/>
    <mergeCell ref="E173:E174"/>
    <mergeCell ref="F192:F193"/>
    <mergeCell ref="G192:G193"/>
    <mergeCell ref="H192:H193"/>
    <mergeCell ref="I192:I193"/>
    <mergeCell ref="J192:J193"/>
    <mergeCell ref="K192:K193"/>
    <mergeCell ref="L192:L193"/>
    <mergeCell ref="M192:M193"/>
    <mergeCell ref="N192:N193"/>
    <mergeCell ref="O192:O193"/>
    <mergeCell ref="P192:P193"/>
    <mergeCell ref="Q192:Q193"/>
    <mergeCell ref="R192:R193"/>
    <mergeCell ref="S192:S193"/>
    <mergeCell ref="AA192:AA193"/>
    <mergeCell ref="AB192:AB193"/>
    <mergeCell ref="AC192:AC193"/>
    <mergeCell ref="AD192:AD193"/>
    <mergeCell ref="AE192:AE193"/>
    <mergeCell ref="AF192:AF193"/>
    <mergeCell ref="T192:T193"/>
    <mergeCell ref="U192:U193"/>
    <mergeCell ref="V192:V193"/>
    <mergeCell ref="W192:W193"/>
    <mergeCell ref="X192:X193"/>
    <mergeCell ref="Y192:Y193"/>
    <mergeCell ref="Z192:Z193"/>
    <mergeCell ref="AE211:AE212"/>
    <mergeCell ref="AF211:AF212"/>
    <mergeCell ref="F211:F212"/>
    <mergeCell ref="G211:G212"/>
    <mergeCell ref="H211:H212"/>
    <mergeCell ref="I211:I212"/>
    <mergeCell ref="J211:J212"/>
    <mergeCell ref="K211:K212"/>
    <mergeCell ref="L211:L212"/>
    <mergeCell ref="AC78:AC79"/>
    <mergeCell ref="AD78:AD79"/>
    <mergeCell ref="V78:V79"/>
    <mergeCell ref="W78:W79"/>
    <mergeCell ref="X78:X79"/>
    <mergeCell ref="Y78:Y79"/>
    <mergeCell ref="Z78:Z79"/>
    <mergeCell ref="AA78:AA79"/>
    <mergeCell ref="AB78:AB79"/>
    <mergeCell ref="D59:D60"/>
    <mergeCell ref="E59:E60"/>
    <mergeCell ref="F59:F60"/>
    <mergeCell ref="G59:G60"/>
    <mergeCell ref="H59:H60"/>
    <mergeCell ref="I59:I60"/>
    <mergeCell ref="J59:J60"/>
    <mergeCell ref="K59:K60"/>
    <mergeCell ref="L59:L60"/>
    <mergeCell ref="M59:M60"/>
    <mergeCell ref="N59:N60"/>
    <mergeCell ref="O59:O60"/>
    <mergeCell ref="P59:P60"/>
    <mergeCell ref="Q59:Q60"/>
    <mergeCell ref="Y59:Y60"/>
    <mergeCell ref="Z59:Z60"/>
    <mergeCell ref="AA59:AA60"/>
    <mergeCell ref="AB59:AB60"/>
    <mergeCell ref="AC59:AC60"/>
    <mergeCell ref="AD59:AD60"/>
    <mergeCell ref="AE59:AE60"/>
    <mergeCell ref="AF59:AF60"/>
    <mergeCell ref="R59:R60"/>
    <mergeCell ref="S59:S60"/>
    <mergeCell ref="T59:T60"/>
    <mergeCell ref="U59:U60"/>
    <mergeCell ref="V59:V60"/>
    <mergeCell ref="W59:W60"/>
    <mergeCell ref="X59:X60"/>
    <mergeCell ref="AE78:AE79"/>
    <mergeCell ref="AF78:AF79"/>
    <mergeCell ref="F78:F79"/>
    <mergeCell ref="G78:G79"/>
    <mergeCell ref="H78:H79"/>
    <mergeCell ref="I78:I79"/>
    <mergeCell ref="J78:J79"/>
    <mergeCell ref="K78:K79"/>
    <mergeCell ref="L78:L79"/>
    <mergeCell ref="A80:A87"/>
    <mergeCell ref="A88:A90"/>
    <mergeCell ref="D40:D41"/>
    <mergeCell ref="E40:E41"/>
    <mergeCell ref="A42:A49"/>
    <mergeCell ref="A50:A52"/>
    <mergeCell ref="A53:A58"/>
    <mergeCell ref="A59:B60"/>
    <mergeCell ref="C59:C60"/>
    <mergeCell ref="A61:A68"/>
    <mergeCell ref="A69:A71"/>
    <mergeCell ref="A72:A77"/>
    <mergeCell ref="A78:B79"/>
    <mergeCell ref="C78:C79"/>
    <mergeCell ref="D78:D79"/>
    <mergeCell ref="E78:E79"/>
    <mergeCell ref="H97:H98"/>
    <mergeCell ref="I97:I98"/>
    <mergeCell ref="J97:J98"/>
    <mergeCell ref="K97:K98"/>
    <mergeCell ref="L97:L98"/>
    <mergeCell ref="M97:M98"/>
    <mergeCell ref="N97:N98"/>
    <mergeCell ref="O97:O98"/>
    <mergeCell ref="P97:P98"/>
    <mergeCell ref="Q97:Q98"/>
    <mergeCell ref="R97:R98"/>
    <mergeCell ref="S97:S98"/>
    <mergeCell ref="T97:T98"/>
    <mergeCell ref="U97:U98"/>
    <mergeCell ref="AC97:AC98"/>
    <mergeCell ref="AD97:AD98"/>
    <mergeCell ref="AE97:AE98"/>
    <mergeCell ref="AF97:AF98"/>
    <mergeCell ref="V97:V98"/>
    <mergeCell ref="W97:W98"/>
    <mergeCell ref="X97:X98"/>
    <mergeCell ref="Y97:Y98"/>
    <mergeCell ref="Z97:Z98"/>
    <mergeCell ref="AA97:AA98"/>
    <mergeCell ref="AB97:AB98"/>
    <mergeCell ref="A91:A96"/>
    <mergeCell ref="A97:B98"/>
    <mergeCell ref="C97:C98"/>
    <mergeCell ref="D97:D98"/>
    <mergeCell ref="E97:E98"/>
    <mergeCell ref="F97:F98"/>
    <mergeCell ref="G97:G98"/>
    <mergeCell ref="AC135:AC136"/>
    <mergeCell ref="AD135:AD136"/>
    <mergeCell ref="V135:V136"/>
    <mergeCell ref="W135:W136"/>
    <mergeCell ref="X135:X136"/>
    <mergeCell ref="Y135:Y136"/>
    <mergeCell ref="Z135:Z136"/>
    <mergeCell ref="AA135:AA136"/>
    <mergeCell ref="AB135:AB136"/>
    <mergeCell ref="F116:F117"/>
    <mergeCell ref="G116:G117"/>
    <mergeCell ref="H116:H117"/>
    <mergeCell ref="I116:I117"/>
    <mergeCell ref="J116:J117"/>
    <mergeCell ref="K116:K117"/>
    <mergeCell ref="L116:L117"/>
    <mergeCell ref="M116:M117"/>
    <mergeCell ref="N116:N117"/>
    <mergeCell ref="O116:O117"/>
    <mergeCell ref="P116:P117"/>
    <mergeCell ref="Q116:Q117"/>
    <mergeCell ref="R116:R117"/>
    <mergeCell ref="S116:S117"/>
    <mergeCell ref="AA116:AA117"/>
    <mergeCell ref="AB116:AB117"/>
    <mergeCell ref="AC116:AC117"/>
    <mergeCell ref="AD116:AD117"/>
    <mergeCell ref="AE116:AE117"/>
    <mergeCell ref="AF116:AF117"/>
    <mergeCell ref="T116:T117"/>
    <mergeCell ref="U116:U117"/>
    <mergeCell ref="V116:V117"/>
    <mergeCell ref="W116:W117"/>
    <mergeCell ref="X116:X117"/>
    <mergeCell ref="Y116:Y117"/>
    <mergeCell ref="Z116:Z117"/>
    <mergeCell ref="A99:A106"/>
    <mergeCell ref="A107:A109"/>
    <mergeCell ref="A110:A115"/>
    <mergeCell ref="A116:B117"/>
    <mergeCell ref="C116:C117"/>
    <mergeCell ref="D116:D117"/>
    <mergeCell ref="E116:E117"/>
    <mergeCell ref="A118:A125"/>
    <mergeCell ref="A126:A128"/>
    <mergeCell ref="A129:A134"/>
    <mergeCell ref="A135:B136"/>
    <mergeCell ref="C135:C136"/>
    <mergeCell ref="D135:D136"/>
    <mergeCell ref="E135:E136"/>
    <mergeCell ref="AE135:AE136"/>
    <mergeCell ref="AF135:AF136"/>
    <mergeCell ref="F135:F136"/>
    <mergeCell ref="G135:G136"/>
    <mergeCell ref="H135:H136"/>
    <mergeCell ref="I135:I136"/>
    <mergeCell ref="J135:J136"/>
    <mergeCell ref="K135:K136"/>
    <mergeCell ref="L135:L136"/>
    <mergeCell ref="T173:T174"/>
    <mergeCell ref="U173:U174"/>
    <mergeCell ref="M173:M174"/>
    <mergeCell ref="N173:N174"/>
    <mergeCell ref="O173:O174"/>
    <mergeCell ref="P173:P174"/>
    <mergeCell ref="Q173:Q174"/>
    <mergeCell ref="R173:R174"/>
    <mergeCell ref="S173:S174"/>
    <mergeCell ref="D251:D252"/>
    <mergeCell ref="E251:E252"/>
    <mergeCell ref="G251:G252"/>
    <mergeCell ref="H251:H252"/>
    <mergeCell ref="I251:I252"/>
    <mergeCell ref="J251:J252"/>
    <mergeCell ref="K251:K252"/>
    <mergeCell ref="AA251:AA252"/>
    <mergeCell ref="AB251:AB252"/>
    <mergeCell ref="AC251:AC252"/>
    <mergeCell ref="AD251:AD252"/>
    <mergeCell ref="L251:L252"/>
    <mergeCell ref="M251:M252"/>
    <mergeCell ref="V251:V252"/>
    <mergeCell ref="W251:W252"/>
    <mergeCell ref="X251:X252"/>
    <mergeCell ref="Y251:Y252"/>
    <mergeCell ref="Z251:Z252"/>
    <mergeCell ref="AI279:AL279"/>
    <mergeCell ref="AI280:AL280"/>
    <mergeCell ref="AI281:AL281"/>
    <mergeCell ref="AI282:AL282"/>
    <mergeCell ref="AI283:AL283"/>
    <mergeCell ref="AI284:AL284"/>
    <mergeCell ref="AI285:AL285"/>
    <mergeCell ref="AI293:AL293"/>
    <mergeCell ref="AI294:AL294"/>
    <mergeCell ref="AI295:AL295"/>
    <mergeCell ref="AI296:AL296"/>
    <mergeCell ref="AI297:AL297"/>
    <mergeCell ref="AI298:AL298"/>
    <mergeCell ref="AI299:AL299"/>
    <mergeCell ref="AI300:AL300"/>
    <mergeCell ref="AI301:AL301"/>
    <mergeCell ref="AI302:AL302"/>
    <mergeCell ref="AI303:AL303"/>
    <mergeCell ref="AI304:AL304"/>
    <mergeCell ref="AI290:AL291"/>
    <mergeCell ref="AI292:AL292"/>
    <mergeCell ref="AI305:AL305"/>
    <mergeCell ref="AI306:AL306"/>
    <mergeCell ref="AE309:AE310"/>
    <mergeCell ref="AF309:AF310"/>
    <mergeCell ref="AG309:AG310"/>
    <mergeCell ref="AG328:AG346"/>
    <mergeCell ref="AI286:AL286"/>
    <mergeCell ref="AI287:AL287"/>
    <mergeCell ref="AI288:AL288"/>
    <mergeCell ref="AI289:AL289"/>
    <mergeCell ref="AE290:AE291"/>
    <mergeCell ref="AF290:AF291"/>
    <mergeCell ref="AG290:AG308"/>
    <mergeCell ref="AI307:AL307"/>
    <mergeCell ref="AI308:AL308"/>
    <mergeCell ref="AI309:AL310"/>
    <mergeCell ref="AI311:AL311"/>
    <mergeCell ref="AI312:AL312"/>
    <mergeCell ref="AI313:AL313"/>
    <mergeCell ref="AI314:AL314"/>
    <mergeCell ref="AI315:AL315"/>
    <mergeCell ref="AI316:AL316"/>
    <mergeCell ref="AI317:AL317"/>
    <mergeCell ref="AI318:AL318"/>
    <mergeCell ref="AI319:AL319"/>
    <mergeCell ref="AI320:AL320"/>
    <mergeCell ref="AI321:AL321"/>
    <mergeCell ref="AI346:AL346"/>
    <mergeCell ref="AI322:AL322"/>
    <mergeCell ref="AI323:AL323"/>
    <mergeCell ref="AI324:AL324"/>
    <mergeCell ref="AI325:AL325"/>
    <mergeCell ref="AI326:AL326"/>
    <mergeCell ref="AE328:AE329"/>
    <mergeCell ref="AF328:AF329"/>
    <mergeCell ref="AI337:AL337"/>
    <mergeCell ref="AI338:AL338"/>
    <mergeCell ref="AI339:AL339"/>
    <mergeCell ref="AI340:AL340"/>
    <mergeCell ref="AI341:AL341"/>
    <mergeCell ref="AI342:AL342"/>
    <mergeCell ref="AI343:AL343"/>
    <mergeCell ref="AI390:AL390"/>
    <mergeCell ref="AI391:AL391"/>
    <mergeCell ref="AI392:AL392"/>
    <mergeCell ref="AI393:AL393"/>
    <mergeCell ref="AI394:AL394"/>
    <mergeCell ref="AI395:AL395"/>
    <mergeCell ref="AI396:AL396"/>
    <mergeCell ref="AI397:AL397"/>
    <mergeCell ref="AI398:AL398"/>
    <mergeCell ref="AI399:AL399"/>
    <mergeCell ref="AI400:AL400"/>
    <mergeCell ref="AI401:AL401"/>
    <mergeCell ref="AI402:AL402"/>
    <mergeCell ref="AI403:AL403"/>
    <mergeCell ref="AI344:AL344"/>
    <mergeCell ref="AI345:AL345"/>
    <mergeCell ref="AG385:AG403"/>
    <mergeCell ref="AI385:AL386"/>
    <mergeCell ref="AI387:AL387"/>
    <mergeCell ref="AI388:AL388"/>
    <mergeCell ref="AI389:AL389"/>
    <mergeCell ref="AG404:AG405"/>
    <mergeCell ref="AI404:AL405"/>
    <mergeCell ref="AI406:AL406"/>
    <mergeCell ref="AI407:AL407"/>
    <mergeCell ref="AI408:AL408"/>
    <mergeCell ref="AI409:AL409"/>
    <mergeCell ref="AI410:AL410"/>
    <mergeCell ref="AI411:AL411"/>
    <mergeCell ref="AI412:AL412"/>
    <mergeCell ref="AI413:AL413"/>
    <mergeCell ref="AI414:AL414"/>
    <mergeCell ref="AI415:AL415"/>
    <mergeCell ref="AI416:AL416"/>
    <mergeCell ref="AI417:AL417"/>
    <mergeCell ref="AI425:AL425"/>
    <mergeCell ref="AI426:AL426"/>
    <mergeCell ref="AI427:AL427"/>
    <mergeCell ref="AI428:AL428"/>
    <mergeCell ref="AI429:AL429"/>
    <mergeCell ref="AI430:AL430"/>
    <mergeCell ref="AI442:AL443"/>
    <mergeCell ref="AI444:AL444"/>
    <mergeCell ref="AI445:AL445"/>
    <mergeCell ref="AI446:AL446"/>
    <mergeCell ref="AI447:AL447"/>
    <mergeCell ref="AI448:AL448"/>
    <mergeCell ref="AI449:AL449"/>
    <mergeCell ref="AI457:AL457"/>
    <mergeCell ref="AI458:AL458"/>
    <mergeCell ref="AI459:AL459"/>
    <mergeCell ref="AI460:AL460"/>
    <mergeCell ref="AI450:AL450"/>
    <mergeCell ref="AI451:AL451"/>
    <mergeCell ref="AI452:AL452"/>
    <mergeCell ref="AI453:AL453"/>
    <mergeCell ref="AI454:AL454"/>
    <mergeCell ref="AI455:AL455"/>
    <mergeCell ref="AI456:AL456"/>
    <mergeCell ref="AI431:AL431"/>
    <mergeCell ref="AI432:AL432"/>
    <mergeCell ref="AI433:AL433"/>
    <mergeCell ref="AI434:AL434"/>
    <mergeCell ref="AI435:AL435"/>
    <mergeCell ref="AI436:AL436"/>
    <mergeCell ref="AI437:AL437"/>
    <mergeCell ref="AI438:AL438"/>
    <mergeCell ref="AI439:AL439"/>
    <mergeCell ref="AI440:AL440"/>
    <mergeCell ref="AG423:AG441"/>
    <mergeCell ref="AG442:AG443"/>
    <mergeCell ref="AI418:AL418"/>
    <mergeCell ref="AI419:AL419"/>
    <mergeCell ref="AI420:AL420"/>
    <mergeCell ref="AI421:AL421"/>
    <mergeCell ref="AI422:AL422"/>
    <mergeCell ref="AI423:AL424"/>
    <mergeCell ref="AI441:AL441"/>
    <mergeCell ref="AI130:AL130"/>
    <mergeCell ref="AI131:AL131"/>
    <mergeCell ref="AI132:AL132"/>
    <mergeCell ref="AI133:AL133"/>
    <mergeCell ref="AI134:AL134"/>
    <mergeCell ref="AG135:AG136"/>
    <mergeCell ref="AI135:AL136"/>
    <mergeCell ref="AI137:AL137"/>
    <mergeCell ref="AI138:AL138"/>
    <mergeCell ref="AI139:AL139"/>
    <mergeCell ref="AI140:AL140"/>
    <mergeCell ref="AI141:AL141"/>
    <mergeCell ref="AI142:AL142"/>
    <mergeCell ref="AI143:AL143"/>
    <mergeCell ref="AI144:AL144"/>
    <mergeCell ref="AI145:AL145"/>
    <mergeCell ref="AI146:AL146"/>
    <mergeCell ref="AI147:AL147"/>
    <mergeCell ref="AI148:AL148"/>
    <mergeCell ref="AI149:AL149"/>
    <mergeCell ref="AI150:AL150"/>
    <mergeCell ref="AI158:AL158"/>
    <mergeCell ref="AI159:AL159"/>
    <mergeCell ref="AI160:AL160"/>
    <mergeCell ref="AI161:AL161"/>
    <mergeCell ref="AI162:AL162"/>
    <mergeCell ref="AI163:AL163"/>
    <mergeCell ref="AI164:AL164"/>
    <mergeCell ref="AI165:AL165"/>
    <mergeCell ref="AI205:AL205"/>
    <mergeCell ref="AI206:AL206"/>
    <mergeCell ref="AI198:AL198"/>
    <mergeCell ref="AI199:AL199"/>
    <mergeCell ref="AI200:AL200"/>
    <mergeCell ref="AI201:AL201"/>
    <mergeCell ref="AI202:AL202"/>
    <mergeCell ref="AI203:AL203"/>
    <mergeCell ref="AI204:AL204"/>
    <mergeCell ref="AI166:AL166"/>
    <mergeCell ref="AI167:AL167"/>
    <mergeCell ref="AI168:AL168"/>
    <mergeCell ref="AI169:AL169"/>
    <mergeCell ref="AI170:AL170"/>
    <mergeCell ref="AI171:AL171"/>
    <mergeCell ref="AG154:AG172"/>
    <mergeCell ref="AG173:AG174"/>
    <mergeCell ref="AG192:AG210"/>
    <mergeCell ref="AG211:AG212"/>
    <mergeCell ref="AI151:AL151"/>
    <mergeCell ref="AI152:AL152"/>
    <mergeCell ref="AI153:AL153"/>
    <mergeCell ref="AI154:AL155"/>
    <mergeCell ref="AI156:AL156"/>
    <mergeCell ref="AI157:AL157"/>
    <mergeCell ref="AI172:AL172"/>
    <mergeCell ref="AI173:AL174"/>
    <mergeCell ref="AI175:AL175"/>
    <mergeCell ref="AI176:AL176"/>
    <mergeCell ref="AI177:AL177"/>
    <mergeCell ref="AI178:AL178"/>
    <mergeCell ref="AI179:AL179"/>
    <mergeCell ref="AI180:AL180"/>
    <mergeCell ref="AI181:AL181"/>
    <mergeCell ref="AI182:AL182"/>
    <mergeCell ref="AI183:AL183"/>
    <mergeCell ref="AI184:AL184"/>
    <mergeCell ref="AI185:AL185"/>
    <mergeCell ref="AI186:AL186"/>
    <mergeCell ref="AI187:AL187"/>
    <mergeCell ref="AI207:AL207"/>
    <mergeCell ref="AI208:AL208"/>
    <mergeCell ref="AI209:AL209"/>
    <mergeCell ref="AI210:AL210"/>
    <mergeCell ref="AI211:AL212"/>
    <mergeCell ref="AI213:AL213"/>
    <mergeCell ref="AI214:AL214"/>
    <mergeCell ref="AI215:AL215"/>
    <mergeCell ref="AI216:AL216"/>
    <mergeCell ref="AI217:AL217"/>
    <mergeCell ref="AI218:AL218"/>
    <mergeCell ref="AI219:AL219"/>
    <mergeCell ref="AI220:AL220"/>
    <mergeCell ref="AI221:AL221"/>
    <mergeCell ref="AI222:AL222"/>
    <mergeCell ref="AI223:AL223"/>
    <mergeCell ref="AI224:AL224"/>
    <mergeCell ref="AI225:AL225"/>
    <mergeCell ref="AI226:AL226"/>
    <mergeCell ref="AI227:AL227"/>
    <mergeCell ref="AI228:AL228"/>
    <mergeCell ref="AI229:AL229"/>
    <mergeCell ref="AI232:AL233"/>
    <mergeCell ref="AI234:AL234"/>
    <mergeCell ref="AI235:AL235"/>
    <mergeCell ref="AI236:AL236"/>
    <mergeCell ref="AI237:AL237"/>
    <mergeCell ref="AI238:AL238"/>
    <mergeCell ref="AI239:AL239"/>
    <mergeCell ref="AI240:AL240"/>
    <mergeCell ref="AI241:AL241"/>
    <mergeCell ref="AI242:AL242"/>
    <mergeCell ref="AI243:AL243"/>
    <mergeCell ref="AI244:AL244"/>
    <mergeCell ref="AI245:AL245"/>
    <mergeCell ref="AI253:AL253"/>
    <mergeCell ref="AI254:AL254"/>
    <mergeCell ref="AI255:AL255"/>
    <mergeCell ref="AI256:AL256"/>
    <mergeCell ref="AI267:AL267"/>
    <mergeCell ref="AI268:AL268"/>
    <mergeCell ref="AI246:AL246"/>
    <mergeCell ref="AI247:AL247"/>
    <mergeCell ref="AI248:AL248"/>
    <mergeCell ref="AI249:AL249"/>
    <mergeCell ref="AI250:AL250"/>
    <mergeCell ref="AI251:AL252"/>
    <mergeCell ref="AI269:AL269"/>
    <mergeCell ref="AI257:AL257"/>
    <mergeCell ref="AI258:AL258"/>
    <mergeCell ref="AI259:AL259"/>
    <mergeCell ref="AI260:AL260"/>
    <mergeCell ref="AI261:AL261"/>
    <mergeCell ref="AI262:AL262"/>
    <mergeCell ref="AI263:AL263"/>
    <mergeCell ref="AI264:AL264"/>
    <mergeCell ref="AI265:AL265"/>
    <mergeCell ref="AI266:AL266"/>
    <mergeCell ref="AE251:AG269"/>
    <mergeCell ref="AE270:AE271"/>
    <mergeCell ref="AF270:AF271"/>
    <mergeCell ref="AG270:AG271"/>
    <mergeCell ref="AI270:AL271"/>
    <mergeCell ref="AI272:AL272"/>
    <mergeCell ref="AI274:AL274"/>
    <mergeCell ref="AI275:AL275"/>
    <mergeCell ref="AI276:AL276"/>
    <mergeCell ref="AI277:AL277"/>
    <mergeCell ref="AI278:AL278"/>
    <mergeCell ref="AI335:AL335"/>
    <mergeCell ref="AI336:AL336"/>
    <mergeCell ref="AI327:AL327"/>
    <mergeCell ref="AI328:AL329"/>
    <mergeCell ref="AI330:AL330"/>
    <mergeCell ref="AI331:AL331"/>
    <mergeCell ref="AI332:AL332"/>
    <mergeCell ref="AI333:AL333"/>
    <mergeCell ref="AI334:AL334"/>
    <mergeCell ref="A368:A375"/>
    <mergeCell ref="A376:A378"/>
    <mergeCell ref="A379:A384"/>
    <mergeCell ref="A385:B386"/>
    <mergeCell ref="C385:C386"/>
    <mergeCell ref="D385:D386"/>
    <mergeCell ref="E385:E386"/>
    <mergeCell ref="A387:A394"/>
    <mergeCell ref="A395:A397"/>
    <mergeCell ref="A398:A403"/>
    <mergeCell ref="A404:B405"/>
    <mergeCell ref="C404:C405"/>
    <mergeCell ref="D404:D405"/>
    <mergeCell ref="E404:E405"/>
    <mergeCell ref="AC404:AC405"/>
    <mergeCell ref="AD404:AD405"/>
    <mergeCell ref="V404:V405"/>
    <mergeCell ref="W404:W405"/>
    <mergeCell ref="X404:X405"/>
    <mergeCell ref="Y404:Y405"/>
    <mergeCell ref="Z404:Z405"/>
    <mergeCell ref="AA404:AA405"/>
    <mergeCell ref="AB404:AB405"/>
    <mergeCell ref="A330:A337"/>
    <mergeCell ref="A338:A340"/>
    <mergeCell ref="A341:A346"/>
    <mergeCell ref="A347:B348"/>
    <mergeCell ref="C347:C348"/>
    <mergeCell ref="D347:D348"/>
    <mergeCell ref="E347:E348"/>
    <mergeCell ref="A349:A356"/>
    <mergeCell ref="A357:A359"/>
    <mergeCell ref="A360:A365"/>
    <mergeCell ref="A366:B367"/>
    <mergeCell ref="C366:C367"/>
    <mergeCell ref="D366:D367"/>
    <mergeCell ref="E366:E367"/>
    <mergeCell ref="F385:F386"/>
    <mergeCell ref="G385:G386"/>
    <mergeCell ref="H385:H386"/>
    <mergeCell ref="I385:I386"/>
    <mergeCell ref="J385:J386"/>
    <mergeCell ref="K385:K386"/>
    <mergeCell ref="L385:L386"/>
    <mergeCell ref="M385:M386"/>
    <mergeCell ref="N385:N386"/>
    <mergeCell ref="O385:O386"/>
    <mergeCell ref="P385:P386"/>
    <mergeCell ref="Q385:Q386"/>
    <mergeCell ref="R385:R386"/>
    <mergeCell ref="S385:S386"/>
    <mergeCell ref="AA385:AA386"/>
    <mergeCell ref="AB385:AB386"/>
    <mergeCell ref="AC385:AC386"/>
    <mergeCell ref="AD385:AD386"/>
    <mergeCell ref="AE385:AE386"/>
    <mergeCell ref="AF385:AF386"/>
    <mergeCell ref="T385:T386"/>
    <mergeCell ref="U385:U386"/>
    <mergeCell ref="V385:V386"/>
    <mergeCell ref="W385:W386"/>
    <mergeCell ref="X385:X386"/>
    <mergeCell ref="Y385:Y386"/>
    <mergeCell ref="Z385:Z386"/>
    <mergeCell ref="AE404:AE405"/>
    <mergeCell ref="AF404:AF405"/>
    <mergeCell ref="F404:F405"/>
    <mergeCell ref="G404:G405"/>
    <mergeCell ref="H404:H405"/>
    <mergeCell ref="I404:I405"/>
    <mergeCell ref="J404:J405"/>
    <mergeCell ref="K404:K405"/>
    <mergeCell ref="L404:L405"/>
    <mergeCell ref="T442:T443"/>
    <mergeCell ref="U442:U443"/>
    <mergeCell ref="M442:M443"/>
    <mergeCell ref="N442:N443"/>
    <mergeCell ref="O442:O443"/>
    <mergeCell ref="P442:P443"/>
    <mergeCell ref="Q442:Q443"/>
    <mergeCell ref="R442:R443"/>
    <mergeCell ref="S442:S443"/>
    <mergeCell ref="AC442:AC443"/>
    <mergeCell ref="AD442:AD443"/>
    <mergeCell ref="V442:V443"/>
    <mergeCell ref="W442:W443"/>
    <mergeCell ref="X442:X443"/>
    <mergeCell ref="Y442:Y443"/>
    <mergeCell ref="Z442:Z443"/>
    <mergeCell ref="AA442:AA443"/>
    <mergeCell ref="AB442:AB443"/>
    <mergeCell ref="T404:T405"/>
    <mergeCell ref="U404:U405"/>
    <mergeCell ref="M404:M405"/>
    <mergeCell ref="N404:N405"/>
    <mergeCell ref="O404:O405"/>
    <mergeCell ref="P404:P405"/>
    <mergeCell ref="Q404:Q405"/>
    <mergeCell ref="R404:R405"/>
    <mergeCell ref="S404:S405"/>
    <mergeCell ref="F423:F424"/>
    <mergeCell ref="G423:G424"/>
    <mergeCell ref="H423:H424"/>
    <mergeCell ref="I423:I424"/>
    <mergeCell ref="J423:J424"/>
    <mergeCell ref="K423:K424"/>
    <mergeCell ref="L423:L424"/>
    <mergeCell ref="M423:M424"/>
    <mergeCell ref="N423:N424"/>
    <mergeCell ref="O423:O424"/>
    <mergeCell ref="P423:P424"/>
    <mergeCell ref="Q423:Q424"/>
    <mergeCell ref="R423:R424"/>
    <mergeCell ref="S423:S424"/>
    <mergeCell ref="AA423:AA424"/>
    <mergeCell ref="AB423:AB424"/>
    <mergeCell ref="AC423:AC424"/>
    <mergeCell ref="AD423:AD424"/>
    <mergeCell ref="AE423:AE424"/>
    <mergeCell ref="AF423:AF424"/>
    <mergeCell ref="T423:T424"/>
    <mergeCell ref="U423:U424"/>
    <mergeCell ref="V423:V424"/>
    <mergeCell ref="W423:W424"/>
    <mergeCell ref="X423:X424"/>
    <mergeCell ref="Y423:Y424"/>
    <mergeCell ref="Z423:Z424"/>
    <mergeCell ref="AE442:AE443"/>
    <mergeCell ref="AF442:AF443"/>
    <mergeCell ref="F442:F443"/>
    <mergeCell ref="G442:G443"/>
    <mergeCell ref="H442:H443"/>
    <mergeCell ref="I442:I443"/>
    <mergeCell ref="J442:J443"/>
    <mergeCell ref="K442:K443"/>
    <mergeCell ref="L442:L443"/>
    <mergeCell ref="T211:T212"/>
    <mergeCell ref="U211:U212"/>
    <mergeCell ref="M211:M212"/>
    <mergeCell ref="N211:N212"/>
    <mergeCell ref="O211:O212"/>
    <mergeCell ref="P211:P212"/>
    <mergeCell ref="Q211:Q212"/>
    <mergeCell ref="R211:R212"/>
    <mergeCell ref="S211:S212"/>
    <mergeCell ref="G232:G233"/>
    <mergeCell ref="H232:H233"/>
    <mergeCell ref="I232:I233"/>
    <mergeCell ref="J232:J233"/>
    <mergeCell ref="K232:K233"/>
    <mergeCell ref="L232:L233"/>
    <mergeCell ref="S251:S252"/>
    <mergeCell ref="T251:T252"/>
    <mergeCell ref="U251:U252"/>
    <mergeCell ref="M232:M233"/>
    <mergeCell ref="N232:N233"/>
    <mergeCell ref="N251:N252"/>
    <mergeCell ref="O251:O252"/>
    <mergeCell ref="P251:P252"/>
    <mergeCell ref="Q251:Q252"/>
    <mergeCell ref="R251:R252"/>
    <mergeCell ref="V290:V291"/>
    <mergeCell ref="W290:W291"/>
    <mergeCell ref="O290:O291"/>
    <mergeCell ref="P290:P291"/>
    <mergeCell ref="Q290:Q291"/>
    <mergeCell ref="R290:R291"/>
    <mergeCell ref="S290:S291"/>
    <mergeCell ref="T290:T291"/>
    <mergeCell ref="U290:U291"/>
    <mergeCell ref="E232:E233"/>
    <mergeCell ref="F232:F233"/>
    <mergeCell ref="A234:A241"/>
    <mergeCell ref="A242:A244"/>
    <mergeCell ref="A251:B252"/>
    <mergeCell ref="C251:C252"/>
    <mergeCell ref="F251:F252"/>
    <mergeCell ref="E270:E271"/>
    <mergeCell ref="F270:F271"/>
    <mergeCell ref="G270:G271"/>
    <mergeCell ref="H270:H271"/>
    <mergeCell ref="I270:I271"/>
    <mergeCell ref="J270:J271"/>
    <mergeCell ref="K270:K271"/>
    <mergeCell ref="Z270:Z271"/>
    <mergeCell ref="AA270:AA271"/>
    <mergeCell ref="AB270:AB271"/>
    <mergeCell ref="AC270:AC271"/>
    <mergeCell ref="AD270:AD271"/>
    <mergeCell ref="A245:A250"/>
    <mergeCell ref="A253:A260"/>
    <mergeCell ref="A261:A263"/>
    <mergeCell ref="A264:A269"/>
    <mergeCell ref="A270:B271"/>
    <mergeCell ref="C270:C271"/>
    <mergeCell ref="D270:D271"/>
    <mergeCell ref="A272:A280"/>
    <mergeCell ref="A281:A283"/>
    <mergeCell ref="A284:A289"/>
    <mergeCell ref="A290:B291"/>
    <mergeCell ref="C290:C291"/>
    <mergeCell ref="D290:D291"/>
    <mergeCell ref="E290:E291"/>
    <mergeCell ref="L270:L271"/>
    <mergeCell ref="M270:M271"/>
    <mergeCell ref="N270:N271"/>
    <mergeCell ref="O270:O271"/>
    <mergeCell ref="P270:P271"/>
    <mergeCell ref="Q270:Q271"/>
    <mergeCell ref="R270:R271"/>
    <mergeCell ref="X290:X291"/>
    <mergeCell ref="Y290:Y291"/>
    <mergeCell ref="Z290:Z291"/>
    <mergeCell ref="AA290:AA291"/>
    <mergeCell ref="AB290:AB291"/>
    <mergeCell ref="AC290:AC291"/>
    <mergeCell ref="AD290:AD291"/>
    <mergeCell ref="S270:S271"/>
    <mergeCell ref="T270:T271"/>
    <mergeCell ref="U270:U271"/>
    <mergeCell ref="V270:V271"/>
    <mergeCell ref="W270:W271"/>
    <mergeCell ref="X270:X271"/>
    <mergeCell ref="Y270:Y271"/>
    <mergeCell ref="T328:T329"/>
    <mergeCell ref="U328:U329"/>
    <mergeCell ref="M328:M329"/>
    <mergeCell ref="N328:N329"/>
    <mergeCell ref="O328:O329"/>
    <mergeCell ref="P328:P329"/>
    <mergeCell ref="Q328:Q329"/>
    <mergeCell ref="R328:R329"/>
    <mergeCell ref="S328:S329"/>
    <mergeCell ref="AC328:AC329"/>
    <mergeCell ref="AD328:AD329"/>
    <mergeCell ref="V328:V329"/>
    <mergeCell ref="W328:W329"/>
    <mergeCell ref="X328:X329"/>
    <mergeCell ref="Y328:Y329"/>
    <mergeCell ref="Z328:Z329"/>
    <mergeCell ref="AA328:AA329"/>
    <mergeCell ref="AB328:AB329"/>
    <mergeCell ref="T366:T367"/>
    <mergeCell ref="U366:U367"/>
    <mergeCell ref="M366:M367"/>
    <mergeCell ref="N366:N367"/>
    <mergeCell ref="O366:O367"/>
    <mergeCell ref="P366:P367"/>
    <mergeCell ref="Q366:Q367"/>
    <mergeCell ref="R366:R367"/>
    <mergeCell ref="S366:S367"/>
    <mergeCell ref="A406:A413"/>
    <mergeCell ref="A414:A416"/>
    <mergeCell ref="A417:A422"/>
    <mergeCell ref="A423:B424"/>
    <mergeCell ref="C423:C424"/>
    <mergeCell ref="D423:D424"/>
    <mergeCell ref="E423:E424"/>
    <mergeCell ref="A444:A451"/>
    <mergeCell ref="A452:A454"/>
    <mergeCell ref="A455:A460"/>
    <mergeCell ref="A425:A432"/>
    <mergeCell ref="A433:A435"/>
    <mergeCell ref="A436:A441"/>
    <mergeCell ref="A442:B443"/>
    <mergeCell ref="C442:C443"/>
    <mergeCell ref="D442:D443"/>
    <mergeCell ref="E442:E44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D21:D22"/>
    <mergeCell ref="E21:E22"/>
    <mergeCell ref="J21:J22"/>
    <mergeCell ref="K21:K22"/>
    <mergeCell ref="L21:L22"/>
    <mergeCell ref="M21:M22"/>
    <mergeCell ref="N21:N22"/>
    <mergeCell ref="H21:H22"/>
    <mergeCell ref="I21:I22"/>
    <mergeCell ref="H2:H3"/>
    <mergeCell ref="I2:I3"/>
    <mergeCell ref="A4:A11"/>
    <mergeCell ref="A12:A14"/>
    <mergeCell ref="A15:A20"/>
    <mergeCell ref="A21:B22"/>
    <mergeCell ref="C21:C22"/>
    <mergeCell ref="F21:F22"/>
    <mergeCell ref="G21:G22"/>
    <mergeCell ref="A23:A30"/>
    <mergeCell ref="A31:A33"/>
    <mergeCell ref="A34:A39"/>
    <mergeCell ref="A40:B41"/>
    <mergeCell ref="C40:C41"/>
    <mergeCell ref="F40:F41"/>
    <mergeCell ref="G40:G41"/>
    <mergeCell ref="H40:H41"/>
    <mergeCell ref="I40:I41"/>
    <mergeCell ref="J40:J41"/>
    <mergeCell ref="K40:K41"/>
    <mergeCell ref="L40:L41"/>
    <mergeCell ref="M40:M41"/>
    <mergeCell ref="N40:N41"/>
    <mergeCell ref="O40:O41"/>
    <mergeCell ref="P40:P41"/>
    <mergeCell ref="Q40:Q41"/>
    <mergeCell ref="R40:R41"/>
    <mergeCell ref="S40:S41"/>
    <mergeCell ref="AA40:AA41"/>
    <mergeCell ref="AB40:AB41"/>
    <mergeCell ref="AC40:AC41"/>
    <mergeCell ref="T40:T41"/>
    <mergeCell ref="U40:U41"/>
    <mergeCell ref="V40:V41"/>
    <mergeCell ref="W40:W41"/>
    <mergeCell ref="X40:X41"/>
    <mergeCell ref="Y40:Y41"/>
    <mergeCell ref="Z40:Z41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1:AG1"/>
    <mergeCell ref="A2:B3"/>
    <mergeCell ref="C2:C3"/>
    <mergeCell ref="D2:D3"/>
    <mergeCell ref="E2:E3"/>
    <mergeCell ref="F2:F3"/>
    <mergeCell ref="G2:G3"/>
    <mergeCell ref="AF2:AF3"/>
    <mergeCell ref="AG2:AG3"/>
    <mergeCell ref="AI2:AL3"/>
    <mergeCell ref="AM2:AP3"/>
    <mergeCell ref="AI4:AL4"/>
    <mergeCell ref="AM4:AP4"/>
    <mergeCell ref="AM5:AP5"/>
    <mergeCell ref="O21:O22"/>
    <mergeCell ref="P21:P22"/>
    <mergeCell ref="Q21:Q22"/>
    <mergeCell ref="R21:R22"/>
    <mergeCell ref="S21:S22"/>
    <mergeCell ref="T21:T22"/>
    <mergeCell ref="U21:U22"/>
    <mergeCell ref="AC21:AC22"/>
    <mergeCell ref="AD21:AD22"/>
    <mergeCell ref="V21:V22"/>
    <mergeCell ref="W21:W22"/>
    <mergeCell ref="X21:X22"/>
    <mergeCell ref="Y21:Y22"/>
    <mergeCell ref="Z21:Z22"/>
    <mergeCell ref="AA21:AA22"/>
    <mergeCell ref="AB21:AB22"/>
    <mergeCell ref="AM28:AP28"/>
    <mergeCell ref="AM29:AP29"/>
    <mergeCell ref="AM20:AP20"/>
    <mergeCell ref="AM21:AP22"/>
    <mergeCell ref="AM23:AP23"/>
    <mergeCell ref="AM24:AP24"/>
    <mergeCell ref="AM25:AP25"/>
    <mergeCell ref="AM26:AP26"/>
    <mergeCell ref="AM27:AP27"/>
    <mergeCell ref="AI32:AL32"/>
    <mergeCell ref="AI33:AL33"/>
    <mergeCell ref="AI34:AL34"/>
    <mergeCell ref="AI35:AL35"/>
    <mergeCell ref="AI36:AL36"/>
    <mergeCell ref="AI37:AL37"/>
    <mergeCell ref="AI38:AL38"/>
    <mergeCell ref="AI39:AL39"/>
    <mergeCell ref="AD40:AD41"/>
    <mergeCell ref="AE40:AE41"/>
    <mergeCell ref="AF40:AF41"/>
    <mergeCell ref="AG40:AG41"/>
    <mergeCell ref="AI40:AL41"/>
    <mergeCell ref="AI19:AL19"/>
    <mergeCell ref="AI20:AL20"/>
    <mergeCell ref="AE21:AG39"/>
    <mergeCell ref="AI21:AL22"/>
    <mergeCell ref="AI23:AL23"/>
    <mergeCell ref="AI24:AL24"/>
    <mergeCell ref="AI25:AL25"/>
    <mergeCell ref="AI5:AL5"/>
    <mergeCell ref="AI6:AL6"/>
    <mergeCell ref="AM6:AP6"/>
    <mergeCell ref="AI7:AL7"/>
    <mergeCell ref="AM7:AP7"/>
    <mergeCell ref="AI8:AL8"/>
    <mergeCell ref="AM8:AP8"/>
    <mergeCell ref="AI9:AL9"/>
    <mergeCell ref="AM9:AP9"/>
    <mergeCell ref="AI10:AL10"/>
    <mergeCell ref="AM10:AP10"/>
    <mergeCell ref="AI11:AL11"/>
    <mergeCell ref="AM11:AP11"/>
    <mergeCell ref="AM12:AP12"/>
    <mergeCell ref="AI12:AL12"/>
    <mergeCell ref="AI13:AL13"/>
    <mergeCell ref="AI14:AL14"/>
    <mergeCell ref="AI15:AL15"/>
    <mergeCell ref="AI16:AL16"/>
    <mergeCell ref="AI17:AL17"/>
    <mergeCell ref="AI18:AL18"/>
    <mergeCell ref="AM13:AP13"/>
    <mergeCell ref="AM14:AP14"/>
    <mergeCell ref="AM15:AP15"/>
    <mergeCell ref="AM16:AP16"/>
    <mergeCell ref="AM17:AP17"/>
    <mergeCell ref="AM18:AP18"/>
    <mergeCell ref="AM19:AP19"/>
    <mergeCell ref="AI26:AL26"/>
    <mergeCell ref="AI27:AL27"/>
    <mergeCell ref="AI28:AL28"/>
    <mergeCell ref="AI29:AL29"/>
    <mergeCell ref="AM30:AP30"/>
    <mergeCell ref="AI30:AL30"/>
    <mergeCell ref="AI31:AL31"/>
    <mergeCell ref="AM31:AP31"/>
    <mergeCell ref="AM32:AP32"/>
    <mergeCell ref="AM33:AP33"/>
    <mergeCell ref="AM34:AP34"/>
    <mergeCell ref="AM35:AP35"/>
    <mergeCell ref="T78:T79"/>
    <mergeCell ref="U78:U79"/>
    <mergeCell ref="M78:M79"/>
    <mergeCell ref="N78:N79"/>
    <mergeCell ref="O78:O79"/>
    <mergeCell ref="P78:P79"/>
    <mergeCell ref="Q78:Q79"/>
    <mergeCell ref="R78:R79"/>
    <mergeCell ref="S78:S79"/>
    <mergeCell ref="AG78:AG79"/>
    <mergeCell ref="AI78:AL79"/>
    <mergeCell ref="AM78:AP79"/>
    <mergeCell ref="AI80:AL80"/>
    <mergeCell ref="AM80:AP80"/>
    <mergeCell ref="AI81:AL81"/>
    <mergeCell ref="AM81:AP81"/>
    <mergeCell ref="AI82:AL82"/>
    <mergeCell ref="AM82:AP82"/>
    <mergeCell ref="AI83:AL83"/>
    <mergeCell ref="AM83:AP83"/>
    <mergeCell ref="AI84:AL84"/>
    <mergeCell ref="AM84:AP84"/>
    <mergeCell ref="AM85:AP85"/>
    <mergeCell ref="AI92:AL92"/>
    <mergeCell ref="AI93:AL93"/>
    <mergeCell ref="AI94:AL94"/>
    <mergeCell ref="AI95:AL95"/>
    <mergeCell ref="AI96:AL96"/>
    <mergeCell ref="AI85:AL85"/>
    <mergeCell ref="AI86:AL86"/>
    <mergeCell ref="AI87:AL87"/>
    <mergeCell ref="AI88:AL88"/>
    <mergeCell ref="AI89:AL89"/>
    <mergeCell ref="AI90:AL90"/>
    <mergeCell ref="AI91:AL91"/>
    <mergeCell ref="AM93:AP93"/>
    <mergeCell ref="AM94:AP94"/>
    <mergeCell ref="AM95:AP95"/>
    <mergeCell ref="AM96:AP96"/>
    <mergeCell ref="AM86:AP86"/>
    <mergeCell ref="AM87:AP87"/>
    <mergeCell ref="AM88:AP88"/>
    <mergeCell ref="AM89:AP89"/>
    <mergeCell ref="AM90:AP90"/>
    <mergeCell ref="AM91:AP91"/>
    <mergeCell ref="AM92:AP92"/>
    <mergeCell ref="AI59:AL60"/>
    <mergeCell ref="AI61:AL61"/>
    <mergeCell ref="AM68:AP68"/>
    <mergeCell ref="AI68:AL68"/>
    <mergeCell ref="AI69:AL69"/>
    <mergeCell ref="AM69:AP69"/>
    <mergeCell ref="AM70:AP70"/>
    <mergeCell ref="AI70:AL70"/>
    <mergeCell ref="AI71:AL71"/>
    <mergeCell ref="AM71:AP71"/>
    <mergeCell ref="AM72:AP72"/>
    <mergeCell ref="AI72:AL72"/>
    <mergeCell ref="AI73:AL73"/>
    <mergeCell ref="AM73:AP73"/>
    <mergeCell ref="AM74:AP74"/>
    <mergeCell ref="AI74:AL74"/>
    <mergeCell ref="AI75:AL75"/>
    <mergeCell ref="AM75:AP75"/>
    <mergeCell ref="AM76:AP76"/>
    <mergeCell ref="AI76:AL76"/>
    <mergeCell ref="AI77:AL77"/>
    <mergeCell ref="AM77:AP77"/>
    <mergeCell ref="AI53:AL53"/>
    <mergeCell ref="AI54:AL54"/>
    <mergeCell ref="AI55:AL55"/>
    <mergeCell ref="AI56:AL56"/>
    <mergeCell ref="AI57:AL57"/>
    <mergeCell ref="AI58:AL58"/>
    <mergeCell ref="AG59:AG77"/>
    <mergeCell ref="AC173:AC174"/>
    <mergeCell ref="AD173:AD174"/>
    <mergeCell ref="V173:V174"/>
    <mergeCell ref="W173:W174"/>
    <mergeCell ref="X173:X174"/>
    <mergeCell ref="Y173:Y174"/>
    <mergeCell ref="Z173:Z174"/>
    <mergeCell ref="AA173:AA174"/>
    <mergeCell ref="AB173:AB174"/>
    <mergeCell ref="T135:T136"/>
    <mergeCell ref="U135:U136"/>
    <mergeCell ref="M135:M136"/>
    <mergeCell ref="N135:N136"/>
    <mergeCell ref="O135:O136"/>
    <mergeCell ref="P135:P136"/>
    <mergeCell ref="Q135:Q136"/>
    <mergeCell ref="R135:R136"/>
    <mergeCell ref="S135:S136"/>
    <mergeCell ref="F154:F155"/>
    <mergeCell ref="G154:G155"/>
    <mergeCell ref="H154:H155"/>
    <mergeCell ref="I154:I155"/>
    <mergeCell ref="J154:J155"/>
    <mergeCell ref="K154:K155"/>
    <mergeCell ref="L154:L155"/>
    <mergeCell ref="M154:M155"/>
    <mergeCell ref="N154:N155"/>
    <mergeCell ref="O154:O155"/>
    <mergeCell ref="P154:P155"/>
    <mergeCell ref="Q154:Q155"/>
    <mergeCell ref="R154:R155"/>
    <mergeCell ref="S154:S155"/>
    <mergeCell ref="AA154:AA155"/>
    <mergeCell ref="AB154:AB155"/>
    <mergeCell ref="AC154:AC155"/>
    <mergeCell ref="AD154:AD155"/>
    <mergeCell ref="AE154:AE155"/>
    <mergeCell ref="AF154:AF155"/>
    <mergeCell ref="T154:T155"/>
    <mergeCell ref="U154:U155"/>
    <mergeCell ref="V154:V155"/>
    <mergeCell ref="W154:W155"/>
    <mergeCell ref="X154:X155"/>
    <mergeCell ref="Y154:Y155"/>
    <mergeCell ref="Z154:Z155"/>
    <mergeCell ref="AE173:AE174"/>
    <mergeCell ref="AF173:AF174"/>
    <mergeCell ref="F173:F174"/>
    <mergeCell ref="G173:G174"/>
    <mergeCell ref="H173:H174"/>
    <mergeCell ref="I173:I174"/>
    <mergeCell ref="J173:J174"/>
    <mergeCell ref="K173:K174"/>
    <mergeCell ref="L173:L174"/>
    <mergeCell ref="AC232:AC233"/>
    <mergeCell ref="AD232:AD233"/>
    <mergeCell ref="AE232:AE233"/>
    <mergeCell ref="AF232:AF233"/>
    <mergeCell ref="A213:A220"/>
    <mergeCell ref="A221:A223"/>
    <mergeCell ref="A224:A229"/>
    <mergeCell ref="A231:AG231"/>
    <mergeCell ref="A232:B233"/>
    <mergeCell ref="C232:C233"/>
    <mergeCell ref="D232:D233"/>
    <mergeCell ref="AG232:AG233"/>
    <mergeCell ref="O232:O233"/>
    <mergeCell ref="P232:P233"/>
    <mergeCell ref="Q232:Q233"/>
    <mergeCell ref="R232:R233"/>
    <mergeCell ref="S232:S233"/>
    <mergeCell ref="T232:T233"/>
    <mergeCell ref="U232:U233"/>
    <mergeCell ref="V232:V233"/>
    <mergeCell ref="W232:W233"/>
    <mergeCell ref="X232:X233"/>
    <mergeCell ref="Y232:Y233"/>
    <mergeCell ref="Z232:Z233"/>
    <mergeCell ref="AA232:AA233"/>
    <mergeCell ref="AB232:AB233"/>
    <mergeCell ref="AM62:AP62"/>
    <mergeCell ref="AM63:AP63"/>
    <mergeCell ref="AM54:AP54"/>
    <mergeCell ref="AM55:AP55"/>
    <mergeCell ref="AM56:AP56"/>
    <mergeCell ref="AM57:AP57"/>
    <mergeCell ref="AM58:AP58"/>
    <mergeCell ref="AM59:AP60"/>
    <mergeCell ref="AM61:AP61"/>
    <mergeCell ref="AM36:AP36"/>
    <mergeCell ref="AM37:AP37"/>
    <mergeCell ref="AM38:AP38"/>
    <mergeCell ref="AM39:AP39"/>
    <mergeCell ref="AM40:AP41"/>
    <mergeCell ref="AI42:AL42"/>
    <mergeCell ref="AM42:AP42"/>
    <mergeCell ref="AI43:AL43"/>
    <mergeCell ref="AM43:AP43"/>
    <mergeCell ref="AI44:AL44"/>
    <mergeCell ref="AM44:AP44"/>
    <mergeCell ref="AI45:AL45"/>
    <mergeCell ref="AM45:AP45"/>
    <mergeCell ref="AM46:AP46"/>
    <mergeCell ref="AM47:AP47"/>
    <mergeCell ref="AM48:AP48"/>
    <mergeCell ref="AM49:AP49"/>
    <mergeCell ref="AM50:AP50"/>
    <mergeCell ref="AM51:AP51"/>
    <mergeCell ref="AM52:AP52"/>
    <mergeCell ref="AM53:AP53"/>
    <mergeCell ref="AI62:AL62"/>
    <mergeCell ref="AI63:AL63"/>
    <mergeCell ref="AM64:AP64"/>
    <mergeCell ref="AI64:AL64"/>
    <mergeCell ref="AI65:AL65"/>
    <mergeCell ref="AM65:AP65"/>
    <mergeCell ref="AM66:AP66"/>
    <mergeCell ref="AI66:AL66"/>
    <mergeCell ref="AI67:AL67"/>
    <mergeCell ref="AM67:AP67"/>
    <mergeCell ref="AI46:AL46"/>
    <mergeCell ref="AI47:AL47"/>
    <mergeCell ref="AI48:AL48"/>
    <mergeCell ref="AI49:AL49"/>
    <mergeCell ref="AI50:AL50"/>
    <mergeCell ref="AI51:AL51"/>
    <mergeCell ref="AI52:AL52"/>
    <mergeCell ref="AI101:AL101"/>
    <mergeCell ref="AM101:AP101"/>
    <mergeCell ref="AI102:AL102"/>
    <mergeCell ref="AM102:AP102"/>
    <mergeCell ref="AI103:AL103"/>
    <mergeCell ref="AM103:AP103"/>
    <mergeCell ref="AI104:AL104"/>
    <mergeCell ref="AM104:AP104"/>
    <mergeCell ref="AI105:AL105"/>
    <mergeCell ref="AM105:AP105"/>
    <mergeCell ref="AI106:AL106"/>
    <mergeCell ref="AM106:AP106"/>
    <mergeCell ref="AI107:AL107"/>
    <mergeCell ref="AM107:AP107"/>
    <mergeCell ref="AI108:AL108"/>
    <mergeCell ref="AM108:AP108"/>
    <mergeCell ref="AI109:AL109"/>
    <mergeCell ref="AM109:AP109"/>
    <mergeCell ref="AI110:AL110"/>
    <mergeCell ref="AM110:AP110"/>
    <mergeCell ref="AI111:AL111"/>
    <mergeCell ref="AM111:AP111"/>
    <mergeCell ref="AI112:AL112"/>
    <mergeCell ref="AM112:AP112"/>
    <mergeCell ref="AI113:AL113"/>
    <mergeCell ref="AM113:AP113"/>
    <mergeCell ref="AI114:AL114"/>
    <mergeCell ref="AM114:AP114"/>
    <mergeCell ref="AI115:AL115"/>
    <mergeCell ref="AM115:AP115"/>
    <mergeCell ref="AG97:AG115"/>
    <mergeCell ref="AI97:AL98"/>
    <mergeCell ref="AM97:AP98"/>
    <mergeCell ref="AI99:AL99"/>
    <mergeCell ref="AM99:AP99"/>
    <mergeCell ref="AI100:AL100"/>
    <mergeCell ref="AM100:AP100"/>
    <mergeCell ref="AG116:AG117"/>
    <mergeCell ref="AI116:AL117"/>
    <mergeCell ref="AM116:AP117"/>
    <mergeCell ref="AI118:AL118"/>
    <mergeCell ref="AM118:AP118"/>
    <mergeCell ref="AI119:AL119"/>
    <mergeCell ref="AM119:AP119"/>
    <mergeCell ref="AI120:AL120"/>
    <mergeCell ref="AM120:AP120"/>
    <mergeCell ref="AI121:AL121"/>
    <mergeCell ref="AM121:AP121"/>
    <mergeCell ref="AI122:AL122"/>
    <mergeCell ref="AM122:AP122"/>
    <mergeCell ref="AM123:AP123"/>
    <mergeCell ref="AI123:AL123"/>
    <mergeCell ref="AI124:AL124"/>
    <mergeCell ref="AI125:AL125"/>
    <mergeCell ref="AI126:AL126"/>
    <mergeCell ref="AI127:AL127"/>
    <mergeCell ref="AI128:AL128"/>
    <mergeCell ref="AI129:AL129"/>
    <mergeCell ref="AM124:AP124"/>
    <mergeCell ref="AM125:AP125"/>
    <mergeCell ref="AM126:AP126"/>
    <mergeCell ref="AM127:AP127"/>
    <mergeCell ref="AM128:AP128"/>
    <mergeCell ref="AM129:AP129"/>
    <mergeCell ref="AM130:AP130"/>
    <mergeCell ref="AM131:AP131"/>
    <mergeCell ref="AM132:AP132"/>
    <mergeCell ref="AM133:AP133"/>
    <mergeCell ref="AM134:AP134"/>
    <mergeCell ref="AM135:AP136"/>
    <mergeCell ref="AM137:AP137"/>
    <mergeCell ref="AM138:AP138"/>
    <mergeCell ref="AI196:AL196"/>
    <mergeCell ref="AI197:AL197"/>
    <mergeCell ref="AI188:AL188"/>
    <mergeCell ref="AI189:AL189"/>
    <mergeCell ref="AI190:AL190"/>
    <mergeCell ref="AI191:AL191"/>
    <mergeCell ref="AI192:AL193"/>
    <mergeCell ref="AI194:AL194"/>
    <mergeCell ref="AI195:AL195"/>
    <mergeCell ref="AM139:AP139"/>
    <mergeCell ref="AM140:AP140"/>
    <mergeCell ref="AM141:AP141"/>
    <mergeCell ref="AM142:AP142"/>
    <mergeCell ref="AM143:AP143"/>
    <mergeCell ref="AM144:AP144"/>
    <mergeCell ref="AM145:AP145"/>
    <mergeCell ref="AM146:AP146"/>
    <mergeCell ref="AM147:AP147"/>
    <mergeCell ref="AM148:AP148"/>
    <mergeCell ref="AM149:AP149"/>
    <mergeCell ref="AM150:AP150"/>
    <mergeCell ref="AM151:AP151"/>
    <mergeCell ref="AM152:AP152"/>
    <mergeCell ref="AM153:AP153"/>
    <mergeCell ref="AM154:AP155"/>
    <mergeCell ref="AM156:AP156"/>
    <mergeCell ref="AM157:AP157"/>
    <mergeCell ref="AM158:AP158"/>
    <mergeCell ref="AM159:AP159"/>
    <mergeCell ref="AM160:AP160"/>
    <mergeCell ref="AM161:AP161"/>
    <mergeCell ref="AM162:AP162"/>
    <mergeCell ref="AM163:AP163"/>
    <mergeCell ref="AM164:AP164"/>
    <mergeCell ref="AM165:AP165"/>
    <mergeCell ref="AM166:AP166"/>
    <mergeCell ref="AM167:AP167"/>
    <mergeCell ref="AM168:AP168"/>
    <mergeCell ref="AM169:AP169"/>
    <mergeCell ref="AM170:AP170"/>
    <mergeCell ref="AM171:AP171"/>
    <mergeCell ref="AM172:AP172"/>
    <mergeCell ref="AM173:AP174"/>
    <mergeCell ref="AM175:AP175"/>
    <mergeCell ref="AM176:AP176"/>
    <mergeCell ref="AM177:AP177"/>
    <mergeCell ref="AM178:AP178"/>
    <mergeCell ref="AM179:AP179"/>
    <mergeCell ref="AM180:AP180"/>
    <mergeCell ref="AM181:AP181"/>
    <mergeCell ref="AM182:AP182"/>
    <mergeCell ref="AM183:AP183"/>
    <mergeCell ref="AM184:AP184"/>
    <mergeCell ref="AM185:AP185"/>
    <mergeCell ref="AM186:AP186"/>
    <mergeCell ref="AM187:AP187"/>
    <mergeCell ref="AM188:AP188"/>
    <mergeCell ref="AM189:AP189"/>
    <mergeCell ref="M290:M291"/>
    <mergeCell ref="N290:N291"/>
    <mergeCell ref="F290:F291"/>
    <mergeCell ref="G290:G291"/>
    <mergeCell ref="H290:H291"/>
    <mergeCell ref="I290:I291"/>
    <mergeCell ref="J290:J291"/>
    <mergeCell ref="K290:K291"/>
    <mergeCell ref="L290:L291"/>
    <mergeCell ref="F309:F310"/>
    <mergeCell ref="G309:G310"/>
    <mergeCell ref="H309:H310"/>
    <mergeCell ref="I309:I310"/>
    <mergeCell ref="J309:J310"/>
    <mergeCell ref="K309:K310"/>
    <mergeCell ref="L309:L310"/>
    <mergeCell ref="M309:M310"/>
    <mergeCell ref="N309:N310"/>
    <mergeCell ref="O309:O310"/>
    <mergeCell ref="P309:P310"/>
    <mergeCell ref="Q309:Q310"/>
    <mergeCell ref="R309:R310"/>
    <mergeCell ref="S309:S310"/>
    <mergeCell ref="AA309:AA310"/>
    <mergeCell ref="AB309:AB310"/>
    <mergeCell ref="AC309:AC310"/>
    <mergeCell ref="AD309:AD310"/>
    <mergeCell ref="T309:T310"/>
    <mergeCell ref="U309:U310"/>
    <mergeCell ref="V309:V310"/>
    <mergeCell ref="W309:W310"/>
    <mergeCell ref="X309:X310"/>
    <mergeCell ref="Y309:Y310"/>
    <mergeCell ref="Z309:Z310"/>
    <mergeCell ref="F328:F329"/>
    <mergeCell ref="G328:G329"/>
    <mergeCell ref="H328:H329"/>
    <mergeCell ref="I328:I329"/>
    <mergeCell ref="J328:J329"/>
    <mergeCell ref="K328:K329"/>
    <mergeCell ref="L328:L329"/>
    <mergeCell ref="AC366:AC367"/>
    <mergeCell ref="AD366:AD367"/>
    <mergeCell ref="V366:V367"/>
    <mergeCell ref="W366:W367"/>
    <mergeCell ref="X366:X367"/>
    <mergeCell ref="Y366:Y367"/>
    <mergeCell ref="Z366:Z367"/>
    <mergeCell ref="AA366:AA367"/>
    <mergeCell ref="AB366:AB367"/>
    <mergeCell ref="A292:A299"/>
    <mergeCell ref="A300:A302"/>
    <mergeCell ref="A303:A308"/>
    <mergeCell ref="A309:B310"/>
    <mergeCell ref="C309:C310"/>
    <mergeCell ref="D309:D310"/>
    <mergeCell ref="E309:E310"/>
    <mergeCell ref="A311:A318"/>
    <mergeCell ref="A319:A321"/>
    <mergeCell ref="A322:A327"/>
    <mergeCell ref="A328:B329"/>
    <mergeCell ref="C328:C329"/>
    <mergeCell ref="D328:D329"/>
    <mergeCell ref="E328:E329"/>
    <mergeCell ref="F347:F348"/>
    <mergeCell ref="G347:G348"/>
    <mergeCell ref="H347:H348"/>
    <mergeCell ref="I347:I348"/>
    <mergeCell ref="J347:J348"/>
    <mergeCell ref="K347:K348"/>
    <mergeCell ref="L347:L348"/>
    <mergeCell ref="M347:M348"/>
    <mergeCell ref="N347:N348"/>
    <mergeCell ref="O347:O348"/>
    <mergeCell ref="P347:P348"/>
    <mergeCell ref="Q347:Q348"/>
    <mergeCell ref="R347:R348"/>
    <mergeCell ref="S347:S348"/>
    <mergeCell ref="AA347:AA348"/>
    <mergeCell ref="AB347:AB348"/>
    <mergeCell ref="AC347:AC348"/>
    <mergeCell ref="AD347:AD348"/>
    <mergeCell ref="AE347:AE348"/>
    <mergeCell ref="AF347:AF348"/>
    <mergeCell ref="AG347:AG348"/>
    <mergeCell ref="T347:T348"/>
    <mergeCell ref="U347:U348"/>
    <mergeCell ref="V347:V348"/>
    <mergeCell ref="W347:W348"/>
    <mergeCell ref="X347:X348"/>
    <mergeCell ref="Y347:Y348"/>
    <mergeCell ref="Z347:Z348"/>
    <mergeCell ref="AE366:AE367"/>
    <mergeCell ref="AF366:AF367"/>
    <mergeCell ref="AG366:AG367"/>
    <mergeCell ref="F366:F367"/>
    <mergeCell ref="G366:G367"/>
    <mergeCell ref="H366:H367"/>
    <mergeCell ref="I366:I367"/>
    <mergeCell ref="J366:J367"/>
    <mergeCell ref="K366:K367"/>
    <mergeCell ref="L366:L367"/>
    <mergeCell ref="AM455:AP455"/>
    <mergeCell ref="AM456:AP456"/>
    <mergeCell ref="AM457:AP457"/>
    <mergeCell ref="AM458:AP458"/>
    <mergeCell ref="AM459:AP459"/>
    <mergeCell ref="AM460:AP460"/>
    <mergeCell ref="AM448:AP448"/>
    <mergeCell ref="AM449:AP449"/>
    <mergeCell ref="AM450:AP450"/>
    <mergeCell ref="AM451:AP451"/>
    <mergeCell ref="AM452:AP452"/>
    <mergeCell ref="AM453:AP453"/>
    <mergeCell ref="AM454:AP454"/>
    <mergeCell ref="AM396:AP396"/>
    <mergeCell ref="AM397:AP397"/>
    <mergeCell ref="AM398:AP398"/>
    <mergeCell ref="AM399:AP399"/>
    <mergeCell ref="AM400:AP400"/>
    <mergeCell ref="AM401:AP401"/>
    <mergeCell ref="AM402:AP402"/>
    <mergeCell ref="AM403:AP403"/>
    <mergeCell ref="AM404:AP405"/>
    <mergeCell ref="AM406:AP406"/>
    <mergeCell ref="AM407:AP407"/>
    <mergeCell ref="AM408:AP408"/>
    <mergeCell ref="AM409:AP409"/>
    <mergeCell ref="AM410:AP410"/>
    <mergeCell ref="AM411:AP411"/>
    <mergeCell ref="AM412:AP412"/>
    <mergeCell ref="AM413:AP413"/>
    <mergeCell ref="AM414:AP414"/>
    <mergeCell ref="AM415:AP415"/>
    <mergeCell ref="AM416:AP416"/>
    <mergeCell ref="AM417:AP417"/>
    <mergeCell ref="AM418:AP418"/>
    <mergeCell ref="AM419:AP419"/>
    <mergeCell ref="AM420:AP420"/>
    <mergeCell ref="AM421:AP421"/>
    <mergeCell ref="AM422:AP422"/>
    <mergeCell ref="AM423:AP424"/>
    <mergeCell ref="AM425:AP425"/>
    <mergeCell ref="AM426:AP426"/>
    <mergeCell ref="AM427:AP427"/>
    <mergeCell ref="AM428:AP428"/>
    <mergeCell ref="AM429:AP429"/>
    <mergeCell ref="AM430:AP430"/>
    <mergeCell ref="AM431:AP431"/>
    <mergeCell ref="AM432:AP432"/>
    <mergeCell ref="AM433:AP433"/>
    <mergeCell ref="AM434:AP434"/>
    <mergeCell ref="AM435:AP435"/>
    <mergeCell ref="AM436:AP436"/>
    <mergeCell ref="AM437:AP437"/>
    <mergeCell ref="AM438:AP438"/>
    <mergeCell ref="AM439:AP439"/>
    <mergeCell ref="AM440:AP440"/>
    <mergeCell ref="AM441:AP441"/>
    <mergeCell ref="AM442:AP443"/>
    <mergeCell ref="AM444:AP444"/>
    <mergeCell ref="AM445:AP445"/>
    <mergeCell ref="AM446:AP446"/>
    <mergeCell ref="AM447:AP447"/>
    <mergeCell ref="AM190:AP190"/>
    <mergeCell ref="AM191:AP191"/>
    <mergeCell ref="AM192:AP193"/>
    <mergeCell ref="AM194:AP194"/>
    <mergeCell ref="AM195:AP195"/>
    <mergeCell ref="AM196:AP196"/>
    <mergeCell ref="AM197:AP197"/>
    <mergeCell ref="AM198:AP198"/>
    <mergeCell ref="AM199:AP199"/>
    <mergeCell ref="AM200:AP200"/>
    <mergeCell ref="AM201:AP201"/>
    <mergeCell ref="AM202:AP202"/>
    <mergeCell ref="AM203:AP203"/>
    <mergeCell ref="AM204:AP204"/>
    <mergeCell ref="AM205:AP205"/>
    <mergeCell ref="AM206:AP206"/>
    <mergeCell ref="AM207:AP207"/>
    <mergeCell ref="AM208:AP208"/>
    <mergeCell ref="AM209:AP209"/>
    <mergeCell ref="AM210:AP210"/>
    <mergeCell ref="AM211:AP212"/>
    <mergeCell ref="AM213:AP213"/>
    <mergeCell ref="AM214:AP214"/>
    <mergeCell ref="AM215:AP215"/>
    <mergeCell ref="AM216:AP216"/>
    <mergeCell ref="AM217:AP217"/>
    <mergeCell ref="AM218:AP218"/>
    <mergeCell ref="AM219:AP219"/>
    <mergeCell ref="AM220:AP220"/>
    <mergeCell ref="AM221:AP221"/>
    <mergeCell ref="AM222:AP222"/>
    <mergeCell ref="AM223:AP223"/>
    <mergeCell ref="AM224:AP224"/>
    <mergeCell ref="AM225:AP225"/>
    <mergeCell ref="AM226:AP226"/>
    <mergeCell ref="AM227:AP227"/>
    <mergeCell ref="AM228:AP228"/>
    <mergeCell ref="AM229:AP229"/>
    <mergeCell ref="AM232:AP233"/>
    <mergeCell ref="AM234:AP234"/>
    <mergeCell ref="AM235:AP235"/>
    <mergeCell ref="AM236:AP236"/>
    <mergeCell ref="AM237:AP237"/>
    <mergeCell ref="AM238:AP238"/>
    <mergeCell ref="AM239:AP239"/>
    <mergeCell ref="AM240:AP240"/>
    <mergeCell ref="AM241:AP241"/>
    <mergeCell ref="AM242:AP242"/>
    <mergeCell ref="AM243:AP243"/>
    <mergeCell ref="AM244:AP244"/>
    <mergeCell ref="AM245:AP245"/>
    <mergeCell ref="AM246:AP246"/>
    <mergeCell ref="AM247:AP247"/>
    <mergeCell ref="AM248:AP248"/>
    <mergeCell ref="AM249:AP249"/>
    <mergeCell ref="AM250:AP250"/>
    <mergeCell ref="AM251:AP252"/>
    <mergeCell ref="AM253:AP253"/>
    <mergeCell ref="AM254:AP254"/>
    <mergeCell ref="AM255:AP255"/>
    <mergeCell ref="AM256:AP256"/>
    <mergeCell ref="AM257:AP257"/>
    <mergeCell ref="AM258:AP258"/>
    <mergeCell ref="AM259:AP259"/>
    <mergeCell ref="AM260:AP260"/>
    <mergeCell ref="AM261:AP261"/>
    <mergeCell ref="AM262:AP262"/>
    <mergeCell ref="AM263:AP263"/>
    <mergeCell ref="AM264:AP264"/>
    <mergeCell ref="AM265:AP265"/>
    <mergeCell ref="AM266:AP266"/>
    <mergeCell ref="AM267:AP267"/>
    <mergeCell ref="AM268:AP268"/>
    <mergeCell ref="AM269:AP269"/>
    <mergeCell ref="AM270:AP271"/>
    <mergeCell ref="AM272:AP272"/>
    <mergeCell ref="AM274:AP274"/>
    <mergeCell ref="AM275:AP275"/>
    <mergeCell ref="AM276:AP276"/>
    <mergeCell ref="AM277:AP277"/>
    <mergeCell ref="AM278:AP278"/>
    <mergeCell ref="AM279:AP279"/>
    <mergeCell ref="AM280:AP280"/>
    <mergeCell ref="AM281:AP281"/>
    <mergeCell ref="AM282:AP282"/>
    <mergeCell ref="AM283:AP283"/>
    <mergeCell ref="AM284:AP284"/>
    <mergeCell ref="AM285:AP285"/>
    <mergeCell ref="AM286:AP286"/>
    <mergeCell ref="AM287:AP287"/>
    <mergeCell ref="AM288:AP288"/>
    <mergeCell ref="AM289:AP289"/>
    <mergeCell ref="AM290:AP291"/>
    <mergeCell ref="AM292:AP292"/>
    <mergeCell ref="AM293:AP293"/>
    <mergeCell ref="AM294:AP294"/>
    <mergeCell ref="AM295:AP295"/>
    <mergeCell ref="AM296:AP296"/>
    <mergeCell ref="AM349:AP349"/>
    <mergeCell ref="AM350:AP350"/>
    <mergeCell ref="AM341:AP341"/>
    <mergeCell ref="AM342:AP342"/>
    <mergeCell ref="AM343:AP343"/>
    <mergeCell ref="AM344:AP344"/>
    <mergeCell ref="AM345:AP345"/>
    <mergeCell ref="AM346:AP346"/>
    <mergeCell ref="AM347:AP348"/>
    <mergeCell ref="AM297:AP297"/>
    <mergeCell ref="AM298:AP298"/>
    <mergeCell ref="AM299:AP299"/>
    <mergeCell ref="AM300:AP300"/>
    <mergeCell ref="AM301:AP301"/>
    <mergeCell ref="AM302:AP302"/>
    <mergeCell ref="AM303:AP303"/>
    <mergeCell ref="AM304:AP304"/>
    <mergeCell ref="AM305:AP305"/>
    <mergeCell ref="AM306:AP306"/>
    <mergeCell ref="AM307:AP307"/>
    <mergeCell ref="AM308:AP308"/>
    <mergeCell ref="AM309:AP310"/>
    <mergeCell ref="AM311:AP311"/>
    <mergeCell ref="AM312:AP312"/>
    <mergeCell ref="AM313:AP313"/>
    <mergeCell ref="AM314:AP314"/>
    <mergeCell ref="AM315:AP315"/>
    <mergeCell ref="AM316:AP316"/>
    <mergeCell ref="AM317:AP317"/>
    <mergeCell ref="AM318:AP318"/>
    <mergeCell ref="AM319:AP319"/>
    <mergeCell ref="AM320:AP320"/>
    <mergeCell ref="AM321:AP321"/>
    <mergeCell ref="AM322:AP322"/>
    <mergeCell ref="AM323:AP323"/>
    <mergeCell ref="AM324:AP324"/>
    <mergeCell ref="AM325:AP325"/>
    <mergeCell ref="AM326:AP326"/>
    <mergeCell ref="AM327:AP327"/>
    <mergeCell ref="AM328:AP329"/>
    <mergeCell ref="AM330:AP330"/>
    <mergeCell ref="AM331:AP331"/>
    <mergeCell ref="AM332:AP332"/>
    <mergeCell ref="AM333:AP333"/>
    <mergeCell ref="AM334:AP334"/>
    <mergeCell ref="AM335:AP335"/>
    <mergeCell ref="AM336:AP336"/>
    <mergeCell ref="AM337:AP337"/>
    <mergeCell ref="AM338:AP338"/>
    <mergeCell ref="AM339:AP339"/>
    <mergeCell ref="AM340:AP340"/>
    <mergeCell ref="AI347:AL348"/>
    <mergeCell ref="AI349:AL349"/>
    <mergeCell ref="AI350:AL350"/>
    <mergeCell ref="AI351:AL351"/>
    <mergeCell ref="AM351:AP351"/>
    <mergeCell ref="AI352:AL352"/>
    <mergeCell ref="AM352:AP352"/>
    <mergeCell ref="AM379:AP379"/>
    <mergeCell ref="AM380:AP380"/>
    <mergeCell ref="AM372:AP372"/>
    <mergeCell ref="AM373:AP373"/>
    <mergeCell ref="AM374:AP374"/>
    <mergeCell ref="AM375:AP375"/>
    <mergeCell ref="AM376:AP376"/>
    <mergeCell ref="AM377:AP377"/>
    <mergeCell ref="AM378:AP378"/>
    <mergeCell ref="AI378:AL378"/>
    <mergeCell ref="AI379:AL379"/>
    <mergeCell ref="AI380:AL380"/>
    <mergeCell ref="AI381:AL381"/>
    <mergeCell ref="AM381:AP381"/>
    <mergeCell ref="AI382:AL382"/>
    <mergeCell ref="AM382:AP382"/>
    <mergeCell ref="AI383:AL383"/>
    <mergeCell ref="AM383:AP383"/>
    <mergeCell ref="AI384:AL384"/>
    <mergeCell ref="AM384:AP384"/>
    <mergeCell ref="AM385:AP386"/>
    <mergeCell ref="AM387:AP387"/>
    <mergeCell ref="AM388:AP388"/>
    <mergeCell ref="AI353:AL353"/>
    <mergeCell ref="AM353:AP353"/>
    <mergeCell ref="AI354:AL354"/>
    <mergeCell ref="AM354:AP354"/>
    <mergeCell ref="AI355:AL355"/>
    <mergeCell ref="AM355:AP355"/>
    <mergeCell ref="AM356:AP356"/>
    <mergeCell ref="AI356:AL356"/>
    <mergeCell ref="AI357:AL357"/>
    <mergeCell ref="AI358:AL358"/>
    <mergeCell ref="AI359:AL359"/>
    <mergeCell ref="AI360:AL360"/>
    <mergeCell ref="AI361:AL361"/>
    <mergeCell ref="AI362:AL362"/>
    <mergeCell ref="AM357:AP357"/>
    <mergeCell ref="AM358:AP358"/>
    <mergeCell ref="AM359:AP359"/>
    <mergeCell ref="AM360:AP360"/>
    <mergeCell ref="AM361:AP361"/>
    <mergeCell ref="AM362:AP362"/>
    <mergeCell ref="AM363:AP363"/>
    <mergeCell ref="AI363:AL363"/>
    <mergeCell ref="AI364:AL364"/>
    <mergeCell ref="AI365:AL365"/>
    <mergeCell ref="AI366:AL367"/>
    <mergeCell ref="AI368:AL368"/>
    <mergeCell ref="AI369:AL369"/>
    <mergeCell ref="AI370:AL370"/>
    <mergeCell ref="AM364:AP364"/>
    <mergeCell ref="AM365:AP365"/>
    <mergeCell ref="AM366:AP367"/>
    <mergeCell ref="AM368:AP368"/>
    <mergeCell ref="AM369:AP369"/>
    <mergeCell ref="AM370:AP370"/>
    <mergeCell ref="AM371:AP371"/>
    <mergeCell ref="AI371:AL371"/>
    <mergeCell ref="AI372:AL372"/>
    <mergeCell ref="AI373:AL373"/>
    <mergeCell ref="AI374:AL374"/>
    <mergeCell ref="AI375:AL375"/>
    <mergeCell ref="AI376:AL376"/>
    <mergeCell ref="AI377:AL377"/>
    <mergeCell ref="AM389:AP389"/>
    <mergeCell ref="AM390:AP390"/>
    <mergeCell ref="AM391:AP391"/>
    <mergeCell ref="AM392:AP392"/>
    <mergeCell ref="AM393:AP393"/>
    <mergeCell ref="AM394:AP394"/>
    <mergeCell ref="AM395:AP395"/>
  </mergeCells>
  <printOptions/>
  <pageMargins bottom="0.75" footer="0.0" header="0.0" left="0.7" right="0.7" top="0.75"/>
  <pageSetup paperSize="9" orientation="portrait"/>
  <drawing r:id="rId1"/>
</worksheet>
</file>